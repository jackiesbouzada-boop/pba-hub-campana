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quelinebouzada/Documents/Claude/Projects/Analitica #/Electoral/"/>
    </mc:Choice>
  </mc:AlternateContent>
  <xr:revisionPtr revIDLastSave="0" documentId="8_{2E58B6B1-4CD8-B545-B406-66E1AB8F8A46}" xr6:coauthVersionLast="47" xr6:coauthVersionMax="47" xr10:uidLastSave="{00000000-0000-0000-0000-000000000000}"/>
  <bookViews>
    <workbookView xWindow="1900" yWindow="1820" windowWidth="27240" windowHeight="16440" xr2:uid="{C8A04E63-912D-FB41-A4D1-056DA677E53E}"/>
  </bookViews>
  <sheets>
    <sheet name="Hoja1" sheetId="1" r:id="rId1"/>
  </sheets>
  <definedNames>
    <definedName name="_xlnm._FilterDatabase" localSheetId="0" hidden="1">Hoja1!$A$1:$P$422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2" i="1" l="1"/>
  <c r="N422" i="1"/>
  <c r="A422" i="1"/>
  <c r="O421" i="1"/>
  <c r="N421" i="1"/>
  <c r="A421" i="1"/>
  <c r="O420" i="1"/>
  <c r="N420" i="1"/>
  <c r="A420" i="1"/>
  <c r="O419" i="1"/>
  <c r="N419" i="1"/>
  <c r="A419" i="1"/>
  <c r="O418" i="1"/>
  <c r="N418" i="1"/>
  <c r="A418" i="1"/>
  <c r="O417" i="1"/>
  <c r="N417" i="1"/>
  <c r="A417" i="1"/>
  <c r="O416" i="1"/>
  <c r="N416" i="1"/>
  <c r="A416" i="1"/>
  <c r="O415" i="1"/>
  <c r="N415" i="1"/>
  <c r="A415" i="1"/>
  <c r="O414" i="1"/>
  <c r="N414" i="1"/>
  <c r="A414" i="1"/>
  <c r="O413" i="1"/>
  <c r="N413" i="1"/>
  <c r="A413" i="1"/>
  <c r="O412" i="1"/>
  <c r="N412" i="1"/>
  <c r="A412" i="1"/>
  <c r="O411" i="1"/>
  <c r="N411" i="1"/>
  <c r="A411" i="1"/>
  <c r="O410" i="1"/>
  <c r="N410" i="1"/>
  <c r="A410" i="1"/>
  <c r="O409" i="1"/>
  <c r="N409" i="1"/>
  <c r="A409" i="1"/>
  <c r="O408" i="1"/>
  <c r="N408" i="1"/>
  <c r="A408" i="1"/>
  <c r="O407" i="1"/>
  <c r="N407" i="1"/>
  <c r="A407" i="1"/>
  <c r="O406" i="1"/>
  <c r="N406" i="1"/>
  <c r="A406" i="1"/>
  <c r="O405" i="1"/>
  <c r="N405" i="1"/>
  <c r="A405" i="1"/>
  <c r="O404" i="1"/>
  <c r="N404" i="1"/>
  <c r="A404" i="1"/>
  <c r="O403" i="1"/>
  <c r="N403" i="1"/>
  <c r="A403" i="1"/>
  <c r="O402" i="1"/>
  <c r="N402" i="1"/>
  <c r="A402" i="1"/>
  <c r="O401" i="1"/>
  <c r="N401" i="1"/>
  <c r="A401" i="1"/>
  <c r="O400" i="1"/>
  <c r="N400" i="1"/>
  <c r="A400" i="1"/>
  <c r="O399" i="1"/>
  <c r="N399" i="1"/>
  <c r="A399" i="1"/>
  <c r="O398" i="1"/>
  <c r="N398" i="1"/>
  <c r="A398" i="1"/>
  <c r="O397" i="1"/>
  <c r="N397" i="1"/>
  <c r="A397" i="1"/>
  <c r="O396" i="1"/>
  <c r="N396" i="1"/>
  <c r="A396" i="1"/>
  <c r="O395" i="1"/>
  <c r="N395" i="1"/>
  <c r="A395" i="1"/>
  <c r="O394" i="1"/>
  <c r="N394" i="1"/>
  <c r="A394" i="1"/>
  <c r="O393" i="1"/>
  <c r="N393" i="1"/>
  <c r="A393" i="1"/>
  <c r="O392" i="1"/>
  <c r="N392" i="1"/>
  <c r="A392" i="1"/>
  <c r="O391" i="1"/>
  <c r="N391" i="1"/>
  <c r="A391" i="1"/>
  <c r="O390" i="1"/>
  <c r="N390" i="1"/>
  <c r="A390" i="1"/>
  <c r="O389" i="1"/>
  <c r="N389" i="1"/>
  <c r="A389" i="1"/>
  <c r="O388" i="1"/>
  <c r="N388" i="1"/>
  <c r="A388" i="1"/>
  <c r="O387" i="1"/>
  <c r="N387" i="1"/>
  <c r="A387" i="1"/>
  <c r="O386" i="1"/>
  <c r="N386" i="1"/>
  <c r="A386" i="1"/>
  <c r="O385" i="1"/>
  <c r="N385" i="1"/>
  <c r="A385" i="1"/>
  <c r="O384" i="1"/>
  <c r="N384" i="1"/>
  <c r="A384" i="1"/>
  <c r="O383" i="1"/>
  <c r="N383" i="1"/>
  <c r="A383" i="1"/>
  <c r="O382" i="1"/>
  <c r="N382" i="1"/>
  <c r="A382" i="1"/>
  <c r="O381" i="1"/>
  <c r="N381" i="1"/>
  <c r="A381" i="1"/>
  <c r="O380" i="1"/>
  <c r="N380" i="1"/>
  <c r="A380" i="1"/>
  <c r="O379" i="1"/>
  <c r="N379" i="1"/>
  <c r="A379" i="1"/>
  <c r="O378" i="1"/>
  <c r="N378" i="1"/>
  <c r="A378" i="1"/>
  <c r="O377" i="1"/>
  <c r="N377" i="1"/>
  <c r="A377" i="1"/>
  <c r="O376" i="1"/>
  <c r="N376" i="1"/>
  <c r="A376" i="1"/>
  <c r="O375" i="1"/>
  <c r="N375" i="1"/>
  <c r="A375" i="1"/>
  <c r="O374" i="1"/>
  <c r="N374" i="1"/>
  <c r="A374" i="1"/>
  <c r="O373" i="1"/>
  <c r="N373" i="1"/>
  <c r="A373" i="1"/>
  <c r="O372" i="1"/>
  <c r="N372" i="1"/>
  <c r="A372" i="1"/>
  <c r="O371" i="1"/>
  <c r="N371" i="1"/>
  <c r="A371" i="1"/>
  <c r="O370" i="1"/>
  <c r="N370" i="1"/>
  <c r="A370" i="1"/>
  <c r="O369" i="1"/>
  <c r="N369" i="1"/>
  <c r="A369" i="1"/>
  <c r="O368" i="1"/>
  <c r="N368" i="1"/>
  <c r="A368" i="1"/>
  <c r="O367" i="1"/>
  <c r="N367" i="1"/>
  <c r="A367" i="1"/>
  <c r="O366" i="1"/>
  <c r="N366" i="1"/>
  <c r="A366" i="1"/>
  <c r="O365" i="1"/>
  <c r="N365" i="1"/>
  <c r="A365" i="1"/>
  <c r="O364" i="1"/>
  <c r="N364" i="1"/>
  <c r="A364" i="1"/>
  <c r="O363" i="1"/>
  <c r="N363" i="1"/>
  <c r="A363" i="1"/>
  <c r="O362" i="1"/>
  <c r="N362" i="1"/>
  <c r="A362" i="1"/>
  <c r="O361" i="1"/>
  <c r="N361" i="1"/>
  <c r="A361" i="1"/>
  <c r="O360" i="1"/>
  <c r="N360" i="1"/>
  <c r="A360" i="1"/>
  <c r="O359" i="1"/>
  <c r="N359" i="1"/>
  <c r="A359" i="1"/>
  <c r="O358" i="1"/>
  <c r="N358" i="1"/>
  <c r="A358" i="1"/>
  <c r="O357" i="1"/>
  <c r="N357" i="1"/>
  <c r="A357" i="1"/>
  <c r="O356" i="1"/>
  <c r="N356" i="1"/>
  <c r="A356" i="1"/>
  <c r="O355" i="1"/>
  <c r="N355" i="1"/>
  <c r="A355" i="1"/>
  <c r="O354" i="1"/>
  <c r="N354" i="1"/>
  <c r="A354" i="1"/>
  <c r="O353" i="1"/>
  <c r="N353" i="1"/>
  <c r="A353" i="1"/>
  <c r="O352" i="1"/>
  <c r="N352" i="1"/>
  <c r="A352" i="1"/>
  <c r="O351" i="1"/>
  <c r="N351" i="1"/>
  <c r="A351" i="1"/>
  <c r="O350" i="1"/>
  <c r="N350" i="1"/>
  <c r="A350" i="1"/>
  <c r="O349" i="1"/>
  <c r="N349" i="1"/>
  <c r="A349" i="1"/>
  <c r="O348" i="1"/>
  <c r="N348" i="1"/>
  <c r="A348" i="1"/>
  <c r="O347" i="1"/>
  <c r="N347" i="1"/>
  <c r="A347" i="1"/>
  <c r="O346" i="1"/>
  <c r="N346" i="1"/>
  <c r="A346" i="1"/>
  <c r="O345" i="1"/>
  <c r="N345" i="1"/>
  <c r="A345" i="1"/>
  <c r="O344" i="1"/>
  <c r="N344" i="1"/>
  <c r="A344" i="1"/>
  <c r="O343" i="1"/>
  <c r="N343" i="1"/>
  <c r="A343" i="1"/>
  <c r="O342" i="1"/>
  <c r="N342" i="1"/>
  <c r="A342" i="1"/>
  <c r="O341" i="1"/>
  <c r="N341" i="1"/>
  <c r="A341" i="1"/>
  <c r="O340" i="1"/>
  <c r="N340" i="1"/>
  <c r="A340" i="1"/>
  <c r="O339" i="1"/>
  <c r="N339" i="1"/>
  <c r="A339" i="1"/>
  <c r="O338" i="1"/>
  <c r="N338" i="1"/>
  <c r="A338" i="1"/>
  <c r="O337" i="1"/>
  <c r="N337" i="1"/>
  <c r="A337" i="1"/>
  <c r="O336" i="1"/>
  <c r="N336" i="1"/>
  <c r="A336" i="1"/>
  <c r="O335" i="1"/>
  <c r="N335" i="1"/>
  <c r="A335" i="1"/>
  <c r="O334" i="1"/>
  <c r="N334" i="1"/>
  <c r="A334" i="1"/>
  <c r="O333" i="1"/>
  <c r="N333" i="1"/>
  <c r="A333" i="1"/>
  <c r="O332" i="1"/>
  <c r="N332" i="1"/>
  <c r="A332" i="1"/>
  <c r="O331" i="1"/>
  <c r="N331" i="1"/>
  <c r="A331" i="1"/>
  <c r="O330" i="1"/>
  <c r="N330" i="1"/>
  <c r="A330" i="1"/>
  <c r="O329" i="1"/>
  <c r="N329" i="1"/>
  <c r="A329" i="1"/>
  <c r="O328" i="1"/>
  <c r="N328" i="1"/>
  <c r="A328" i="1"/>
  <c r="O327" i="1"/>
  <c r="N327" i="1"/>
  <c r="A327" i="1"/>
  <c r="O326" i="1"/>
  <c r="N326" i="1"/>
  <c r="A326" i="1"/>
  <c r="O325" i="1"/>
  <c r="N325" i="1"/>
  <c r="A325" i="1"/>
  <c r="O324" i="1"/>
  <c r="N324" i="1"/>
  <c r="A324" i="1"/>
  <c r="O323" i="1"/>
  <c r="N323" i="1"/>
  <c r="A323" i="1"/>
  <c r="O322" i="1"/>
  <c r="N322" i="1"/>
  <c r="A322" i="1"/>
  <c r="O321" i="1"/>
  <c r="N321" i="1"/>
  <c r="A321" i="1"/>
  <c r="O320" i="1"/>
  <c r="N320" i="1"/>
  <c r="A320" i="1"/>
  <c r="O319" i="1"/>
  <c r="N319" i="1"/>
  <c r="A319" i="1"/>
  <c r="O318" i="1"/>
  <c r="N318" i="1"/>
  <c r="A318" i="1"/>
  <c r="O317" i="1"/>
  <c r="N317" i="1"/>
  <c r="A317" i="1"/>
  <c r="O316" i="1"/>
  <c r="N316" i="1"/>
  <c r="A316" i="1"/>
  <c r="O315" i="1"/>
  <c r="N315" i="1"/>
  <c r="A315" i="1"/>
  <c r="O314" i="1"/>
  <c r="N314" i="1"/>
  <c r="A314" i="1"/>
  <c r="O313" i="1"/>
  <c r="N313" i="1"/>
  <c r="A313" i="1"/>
  <c r="O312" i="1"/>
  <c r="N312" i="1"/>
  <c r="A312" i="1"/>
  <c r="O311" i="1"/>
  <c r="N311" i="1"/>
  <c r="A311" i="1"/>
  <c r="O310" i="1"/>
  <c r="N310" i="1"/>
  <c r="A310" i="1"/>
  <c r="O309" i="1"/>
  <c r="N309" i="1"/>
  <c r="A309" i="1"/>
  <c r="O308" i="1"/>
  <c r="N308" i="1"/>
  <c r="A308" i="1"/>
  <c r="O307" i="1"/>
  <c r="N307" i="1"/>
  <c r="A307" i="1"/>
  <c r="O306" i="1"/>
  <c r="N306" i="1"/>
  <c r="A306" i="1"/>
  <c r="O305" i="1"/>
  <c r="N305" i="1"/>
  <c r="A305" i="1"/>
  <c r="O304" i="1"/>
  <c r="N304" i="1"/>
  <c r="A304" i="1"/>
  <c r="O303" i="1"/>
  <c r="N303" i="1"/>
  <c r="A303" i="1"/>
  <c r="O302" i="1"/>
  <c r="N302" i="1"/>
  <c r="A302" i="1"/>
  <c r="O301" i="1"/>
  <c r="N301" i="1"/>
  <c r="A301" i="1"/>
  <c r="O300" i="1"/>
  <c r="N300" i="1"/>
  <c r="A300" i="1"/>
  <c r="O299" i="1"/>
  <c r="N299" i="1"/>
  <c r="A299" i="1"/>
  <c r="O298" i="1"/>
  <c r="N298" i="1"/>
  <c r="A298" i="1"/>
  <c r="O297" i="1"/>
  <c r="N297" i="1"/>
  <c r="A297" i="1"/>
  <c r="O296" i="1"/>
  <c r="N296" i="1"/>
  <c r="A296" i="1"/>
  <c r="O295" i="1"/>
  <c r="N295" i="1"/>
  <c r="A295" i="1"/>
  <c r="O294" i="1"/>
  <c r="N294" i="1"/>
  <c r="A294" i="1"/>
  <c r="O293" i="1"/>
  <c r="N293" i="1"/>
  <c r="A293" i="1"/>
  <c r="O292" i="1"/>
  <c r="N292" i="1"/>
  <c r="A292" i="1"/>
  <c r="O291" i="1"/>
  <c r="N291" i="1"/>
  <c r="A291" i="1"/>
  <c r="O290" i="1"/>
  <c r="N290" i="1"/>
  <c r="A290" i="1"/>
  <c r="O289" i="1"/>
  <c r="N289" i="1"/>
  <c r="A289" i="1"/>
  <c r="O288" i="1"/>
  <c r="N288" i="1"/>
  <c r="A288" i="1"/>
  <c r="O287" i="1"/>
  <c r="N287" i="1"/>
  <c r="A287" i="1"/>
  <c r="O286" i="1"/>
  <c r="N286" i="1"/>
  <c r="A286" i="1"/>
  <c r="O285" i="1"/>
  <c r="N285" i="1"/>
  <c r="A285" i="1"/>
  <c r="O284" i="1"/>
  <c r="N284" i="1"/>
  <c r="A284" i="1"/>
  <c r="O283" i="1"/>
  <c r="N283" i="1"/>
  <c r="A283" i="1"/>
  <c r="O282" i="1"/>
  <c r="N282" i="1"/>
  <c r="A282" i="1"/>
  <c r="O281" i="1"/>
  <c r="N281" i="1"/>
  <c r="A281" i="1"/>
  <c r="O280" i="1"/>
  <c r="N280" i="1"/>
  <c r="A280" i="1"/>
  <c r="O279" i="1"/>
  <c r="N279" i="1"/>
  <c r="A279" i="1"/>
  <c r="O278" i="1"/>
  <c r="N278" i="1"/>
  <c r="A278" i="1"/>
  <c r="O277" i="1"/>
  <c r="N277" i="1"/>
  <c r="A277" i="1"/>
  <c r="O276" i="1"/>
  <c r="N276" i="1"/>
  <c r="A276" i="1"/>
  <c r="O275" i="1"/>
  <c r="N275" i="1"/>
  <c r="A275" i="1"/>
  <c r="O274" i="1"/>
  <c r="N274" i="1"/>
  <c r="A274" i="1"/>
  <c r="O273" i="1"/>
  <c r="N273" i="1"/>
  <c r="A273" i="1"/>
  <c r="O272" i="1"/>
  <c r="N272" i="1"/>
  <c r="A272" i="1"/>
  <c r="O271" i="1"/>
  <c r="N271" i="1"/>
  <c r="A271" i="1"/>
  <c r="O270" i="1"/>
  <c r="N270" i="1"/>
  <c r="A270" i="1"/>
  <c r="O269" i="1"/>
  <c r="N269" i="1"/>
  <c r="A269" i="1"/>
  <c r="O268" i="1"/>
  <c r="N268" i="1"/>
  <c r="A268" i="1"/>
  <c r="O267" i="1"/>
  <c r="N267" i="1"/>
  <c r="A267" i="1"/>
  <c r="O266" i="1"/>
  <c r="N266" i="1"/>
  <c r="A266" i="1"/>
  <c r="O265" i="1"/>
  <c r="N265" i="1"/>
  <c r="A265" i="1"/>
  <c r="O264" i="1"/>
  <c r="N264" i="1"/>
  <c r="A264" i="1"/>
  <c r="O263" i="1"/>
  <c r="N263" i="1"/>
  <c r="A263" i="1"/>
  <c r="O262" i="1"/>
  <c r="N262" i="1"/>
  <c r="A262" i="1"/>
  <c r="O261" i="1"/>
  <c r="N261" i="1"/>
  <c r="A261" i="1"/>
  <c r="O260" i="1"/>
  <c r="N260" i="1"/>
  <c r="A260" i="1"/>
  <c r="O259" i="1"/>
  <c r="N259" i="1"/>
  <c r="A259" i="1"/>
  <c r="O258" i="1"/>
  <c r="N258" i="1"/>
  <c r="A258" i="1"/>
  <c r="O257" i="1"/>
  <c r="N257" i="1"/>
  <c r="A257" i="1"/>
  <c r="O256" i="1"/>
  <c r="N256" i="1"/>
  <c r="A256" i="1"/>
  <c r="O255" i="1"/>
  <c r="N255" i="1"/>
  <c r="A255" i="1"/>
  <c r="O254" i="1"/>
  <c r="N254" i="1"/>
  <c r="A254" i="1"/>
  <c r="O253" i="1"/>
  <c r="N253" i="1"/>
  <c r="A253" i="1"/>
  <c r="O252" i="1"/>
  <c r="N252" i="1"/>
  <c r="A252" i="1"/>
  <c r="O251" i="1"/>
  <c r="N251" i="1"/>
  <c r="A251" i="1"/>
  <c r="O250" i="1"/>
  <c r="N250" i="1"/>
  <c r="A250" i="1"/>
  <c r="O249" i="1"/>
  <c r="N249" i="1"/>
  <c r="A249" i="1"/>
  <c r="O248" i="1"/>
  <c r="N248" i="1"/>
  <c r="A248" i="1"/>
  <c r="O247" i="1"/>
  <c r="N247" i="1"/>
  <c r="A247" i="1"/>
  <c r="O246" i="1"/>
  <c r="N246" i="1"/>
  <c r="A246" i="1"/>
  <c r="O245" i="1"/>
  <c r="N245" i="1"/>
  <c r="A245" i="1"/>
  <c r="O244" i="1"/>
  <c r="N244" i="1"/>
  <c r="A244" i="1"/>
  <c r="O243" i="1"/>
  <c r="N243" i="1"/>
  <c r="A243" i="1"/>
  <c r="O242" i="1"/>
  <c r="N242" i="1"/>
  <c r="A242" i="1"/>
  <c r="O241" i="1"/>
  <c r="N241" i="1"/>
  <c r="A241" i="1"/>
  <c r="O240" i="1"/>
  <c r="N240" i="1"/>
  <c r="A240" i="1"/>
  <c r="O239" i="1"/>
  <c r="N239" i="1"/>
  <c r="A239" i="1"/>
  <c r="O238" i="1"/>
  <c r="N238" i="1"/>
  <c r="A238" i="1"/>
  <c r="O237" i="1"/>
  <c r="N237" i="1"/>
  <c r="A237" i="1"/>
  <c r="O236" i="1"/>
  <c r="N236" i="1"/>
  <c r="A236" i="1"/>
  <c r="O235" i="1"/>
  <c r="N235" i="1"/>
  <c r="A235" i="1"/>
  <c r="O234" i="1"/>
  <c r="N234" i="1"/>
  <c r="A234" i="1"/>
  <c r="O233" i="1"/>
  <c r="N233" i="1"/>
  <c r="A233" i="1"/>
  <c r="O232" i="1"/>
  <c r="N232" i="1"/>
  <c r="A232" i="1"/>
  <c r="O231" i="1"/>
  <c r="N231" i="1"/>
  <c r="A231" i="1"/>
  <c r="O230" i="1"/>
  <c r="N230" i="1"/>
  <c r="A230" i="1"/>
  <c r="O229" i="1"/>
  <c r="N229" i="1"/>
  <c r="A229" i="1"/>
  <c r="O228" i="1"/>
  <c r="N228" i="1"/>
  <c r="A228" i="1"/>
  <c r="O227" i="1"/>
  <c r="N227" i="1"/>
  <c r="A227" i="1"/>
  <c r="O226" i="1"/>
  <c r="N226" i="1"/>
  <c r="A226" i="1"/>
  <c r="O225" i="1"/>
  <c r="N225" i="1"/>
  <c r="A225" i="1"/>
  <c r="O224" i="1"/>
  <c r="N224" i="1"/>
  <c r="A224" i="1"/>
  <c r="O223" i="1"/>
  <c r="N223" i="1"/>
  <c r="A223" i="1"/>
  <c r="O222" i="1"/>
  <c r="N222" i="1"/>
  <c r="A222" i="1"/>
  <c r="O221" i="1"/>
  <c r="N221" i="1"/>
  <c r="A221" i="1"/>
  <c r="O220" i="1"/>
  <c r="N220" i="1"/>
  <c r="A220" i="1"/>
  <c r="O219" i="1"/>
  <c r="N219" i="1"/>
  <c r="A219" i="1"/>
  <c r="O218" i="1"/>
  <c r="N218" i="1"/>
  <c r="A218" i="1"/>
  <c r="O217" i="1"/>
  <c r="N217" i="1"/>
  <c r="A217" i="1"/>
  <c r="O216" i="1"/>
  <c r="N216" i="1"/>
  <c r="A216" i="1"/>
  <c r="O215" i="1"/>
  <c r="N215" i="1"/>
  <c r="A215" i="1"/>
  <c r="O214" i="1"/>
  <c r="N214" i="1"/>
  <c r="A214" i="1"/>
  <c r="O213" i="1"/>
  <c r="N213" i="1"/>
  <c r="A213" i="1"/>
  <c r="O212" i="1"/>
  <c r="N212" i="1"/>
  <c r="A212" i="1"/>
  <c r="O211" i="1"/>
  <c r="N211" i="1"/>
  <c r="A211" i="1"/>
  <c r="O210" i="1"/>
  <c r="N210" i="1"/>
  <c r="A210" i="1"/>
  <c r="O209" i="1"/>
  <c r="N209" i="1"/>
  <c r="A209" i="1"/>
  <c r="O208" i="1"/>
  <c r="N208" i="1"/>
  <c r="A208" i="1"/>
  <c r="O207" i="1"/>
  <c r="N207" i="1"/>
  <c r="A207" i="1"/>
  <c r="O206" i="1"/>
  <c r="N206" i="1"/>
  <c r="A206" i="1"/>
  <c r="O205" i="1"/>
  <c r="N205" i="1"/>
  <c r="A205" i="1"/>
  <c r="O204" i="1"/>
  <c r="N204" i="1"/>
  <c r="A204" i="1"/>
  <c r="O203" i="1"/>
  <c r="N203" i="1"/>
  <c r="A203" i="1"/>
  <c r="O202" i="1"/>
  <c r="N202" i="1"/>
  <c r="A202" i="1"/>
  <c r="O201" i="1"/>
  <c r="N201" i="1"/>
  <c r="A201" i="1"/>
  <c r="O200" i="1"/>
  <c r="N200" i="1"/>
  <c r="A200" i="1"/>
  <c r="O199" i="1"/>
  <c r="N199" i="1"/>
  <c r="A199" i="1"/>
  <c r="O198" i="1"/>
  <c r="N198" i="1"/>
  <c r="A198" i="1"/>
  <c r="O197" i="1"/>
  <c r="N197" i="1"/>
  <c r="A197" i="1"/>
  <c r="O196" i="1"/>
  <c r="N196" i="1"/>
  <c r="A196" i="1"/>
  <c r="O195" i="1"/>
  <c r="N195" i="1"/>
  <c r="A195" i="1"/>
  <c r="O194" i="1"/>
  <c r="N194" i="1"/>
  <c r="A194" i="1"/>
  <c r="O193" i="1"/>
  <c r="N193" i="1"/>
  <c r="A193" i="1"/>
  <c r="O192" i="1"/>
  <c r="N192" i="1"/>
  <c r="A192" i="1"/>
  <c r="O191" i="1"/>
  <c r="N191" i="1"/>
  <c r="A191" i="1"/>
  <c r="O190" i="1"/>
  <c r="N190" i="1"/>
  <c r="A190" i="1"/>
  <c r="O189" i="1"/>
  <c r="N189" i="1"/>
  <c r="A189" i="1"/>
  <c r="O188" i="1"/>
  <c r="N188" i="1"/>
  <c r="A188" i="1"/>
  <c r="O187" i="1"/>
  <c r="N187" i="1"/>
  <c r="A187" i="1"/>
  <c r="O186" i="1"/>
  <c r="N186" i="1"/>
  <c r="A186" i="1"/>
  <c r="O185" i="1"/>
  <c r="N185" i="1"/>
  <c r="A185" i="1"/>
  <c r="O184" i="1"/>
  <c r="N184" i="1"/>
  <c r="A184" i="1"/>
  <c r="O183" i="1"/>
  <c r="N183" i="1"/>
  <c r="A183" i="1"/>
  <c r="O182" i="1"/>
  <c r="N182" i="1"/>
  <c r="A182" i="1"/>
  <c r="O181" i="1"/>
  <c r="N181" i="1"/>
  <c r="A181" i="1"/>
  <c r="O180" i="1"/>
  <c r="N180" i="1"/>
  <c r="A180" i="1"/>
  <c r="O179" i="1"/>
  <c r="N179" i="1"/>
  <c r="A179" i="1"/>
  <c r="O178" i="1"/>
  <c r="N178" i="1"/>
  <c r="A178" i="1"/>
  <c r="O177" i="1"/>
  <c r="N177" i="1"/>
  <c r="A177" i="1"/>
  <c r="O176" i="1"/>
  <c r="N176" i="1"/>
  <c r="A176" i="1"/>
  <c r="O175" i="1"/>
  <c r="N175" i="1"/>
  <c r="A175" i="1"/>
  <c r="O174" i="1"/>
  <c r="N174" i="1"/>
  <c r="A174" i="1"/>
  <c r="O173" i="1"/>
  <c r="N173" i="1"/>
  <c r="A173" i="1"/>
  <c r="O172" i="1"/>
  <c r="N172" i="1"/>
  <c r="A172" i="1"/>
  <c r="O171" i="1"/>
  <c r="N171" i="1"/>
  <c r="A171" i="1"/>
  <c r="O170" i="1"/>
  <c r="N170" i="1"/>
  <c r="A170" i="1"/>
  <c r="O169" i="1"/>
  <c r="N169" i="1"/>
  <c r="A169" i="1"/>
  <c r="O168" i="1"/>
  <c r="N168" i="1"/>
  <c r="A168" i="1"/>
  <c r="O167" i="1"/>
  <c r="N167" i="1"/>
  <c r="A167" i="1"/>
  <c r="O166" i="1"/>
  <c r="N166" i="1"/>
  <c r="A166" i="1"/>
  <c r="O165" i="1"/>
  <c r="N165" i="1"/>
  <c r="A165" i="1"/>
  <c r="O164" i="1"/>
  <c r="N164" i="1"/>
  <c r="A164" i="1"/>
  <c r="O163" i="1"/>
  <c r="N163" i="1"/>
  <c r="A163" i="1"/>
  <c r="O162" i="1"/>
  <c r="N162" i="1"/>
  <c r="A162" i="1"/>
  <c r="O161" i="1"/>
  <c r="N161" i="1"/>
  <c r="A161" i="1"/>
  <c r="O160" i="1"/>
  <c r="N160" i="1"/>
  <c r="A160" i="1"/>
  <c r="O159" i="1"/>
  <c r="N159" i="1"/>
  <c r="A159" i="1"/>
  <c r="O158" i="1"/>
  <c r="N158" i="1"/>
  <c r="A158" i="1"/>
  <c r="O157" i="1"/>
  <c r="N157" i="1"/>
  <c r="A157" i="1"/>
  <c r="O156" i="1"/>
  <c r="N156" i="1"/>
  <c r="A156" i="1"/>
  <c r="O155" i="1"/>
  <c r="N155" i="1"/>
  <c r="A155" i="1"/>
  <c r="O154" i="1"/>
  <c r="N154" i="1"/>
  <c r="A154" i="1"/>
  <c r="O153" i="1"/>
  <c r="N153" i="1"/>
  <c r="A153" i="1"/>
  <c r="O152" i="1"/>
  <c r="N152" i="1"/>
  <c r="A152" i="1"/>
  <c r="O151" i="1"/>
  <c r="N151" i="1"/>
  <c r="A151" i="1"/>
  <c r="O150" i="1"/>
  <c r="N150" i="1"/>
  <c r="A150" i="1"/>
  <c r="O149" i="1"/>
  <c r="N149" i="1"/>
  <c r="A149" i="1"/>
  <c r="O148" i="1"/>
  <c r="N148" i="1"/>
  <c r="A148" i="1"/>
  <c r="O147" i="1"/>
  <c r="N147" i="1"/>
  <c r="A147" i="1"/>
  <c r="O146" i="1"/>
  <c r="N146" i="1"/>
  <c r="A146" i="1"/>
  <c r="O145" i="1"/>
  <c r="N145" i="1"/>
  <c r="A145" i="1"/>
  <c r="O144" i="1"/>
  <c r="N144" i="1"/>
  <c r="A144" i="1"/>
  <c r="P143" i="1"/>
  <c r="N143" i="1"/>
  <c r="A143" i="1"/>
  <c r="P142" i="1"/>
  <c r="N142" i="1"/>
  <c r="A142" i="1"/>
  <c r="P141" i="1"/>
  <c r="N141" i="1"/>
  <c r="A141" i="1"/>
  <c r="P140" i="1"/>
  <c r="N140" i="1"/>
  <c r="A140" i="1"/>
  <c r="P139" i="1"/>
  <c r="N139" i="1"/>
  <c r="A139" i="1"/>
  <c r="P138" i="1"/>
  <c r="N138" i="1"/>
  <c r="A138" i="1"/>
  <c r="P137" i="1"/>
  <c r="N137" i="1"/>
  <c r="A137" i="1"/>
  <c r="P136" i="1"/>
  <c r="N136" i="1"/>
  <c r="A136" i="1"/>
  <c r="P135" i="1"/>
  <c r="N135" i="1"/>
  <c r="A135" i="1"/>
  <c r="P134" i="1"/>
  <c r="N134" i="1"/>
  <c r="A134" i="1"/>
  <c r="P133" i="1"/>
  <c r="N133" i="1"/>
  <c r="A133" i="1"/>
  <c r="P132" i="1"/>
  <c r="N132" i="1"/>
  <c r="A132" i="1"/>
  <c r="P131" i="1"/>
  <c r="N131" i="1"/>
  <c r="A131" i="1"/>
  <c r="P130" i="1"/>
  <c r="N130" i="1"/>
  <c r="A130" i="1"/>
  <c r="P129" i="1"/>
  <c r="N129" i="1"/>
  <c r="A129" i="1"/>
  <c r="P128" i="1"/>
  <c r="N128" i="1"/>
  <c r="A128" i="1"/>
  <c r="P127" i="1"/>
  <c r="N127" i="1"/>
  <c r="A127" i="1"/>
  <c r="P126" i="1"/>
  <c r="N126" i="1"/>
  <c r="A126" i="1"/>
  <c r="P125" i="1"/>
  <c r="N125" i="1"/>
  <c r="A125" i="1"/>
  <c r="P124" i="1"/>
  <c r="N124" i="1"/>
  <c r="A124" i="1"/>
  <c r="P123" i="1"/>
  <c r="N123" i="1"/>
  <c r="A123" i="1"/>
  <c r="P122" i="1"/>
  <c r="N122" i="1"/>
  <c r="A122" i="1"/>
  <c r="P121" i="1"/>
  <c r="N121" i="1"/>
  <c r="A121" i="1"/>
  <c r="P120" i="1"/>
  <c r="N120" i="1"/>
  <c r="A120" i="1"/>
  <c r="P119" i="1"/>
  <c r="N119" i="1"/>
  <c r="A119" i="1"/>
  <c r="P118" i="1"/>
  <c r="N118" i="1"/>
  <c r="A118" i="1"/>
  <c r="P117" i="1"/>
  <c r="N117" i="1"/>
  <c r="A117" i="1"/>
  <c r="P116" i="1"/>
  <c r="N116" i="1"/>
  <c r="A116" i="1"/>
  <c r="P115" i="1"/>
  <c r="N115" i="1"/>
  <c r="A115" i="1"/>
  <c r="P114" i="1"/>
  <c r="N114" i="1"/>
  <c r="A114" i="1"/>
  <c r="P113" i="1"/>
  <c r="N113" i="1"/>
  <c r="A113" i="1"/>
  <c r="P112" i="1"/>
  <c r="N112" i="1"/>
  <c r="A112" i="1"/>
  <c r="P111" i="1"/>
  <c r="N111" i="1"/>
  <c r="A111" i="1"/>
  <c r="P110" i="1"/>
  <c r="N110" i="1"/>
  <c r="A110" i="1"/>
  <c r="P109" i="1"/>
  <c r="N109" i="1"/>
  <c r="A109" i="1"/>
  <c r="P108" i="1"/>
  <c r="N108" i="1"/>
  <c r="A108" i="1"/>
  <c r="P107" i="1"/>
  <c r="N107" i="1"/>
  <c r="A107" i="1"/>
  <c r="P106" i="1"/>
  <c r="N106" i="1"/>
  <c r="A106" i="1"/>
  <c r="P105" i="1"/>
  <c r="N105" i="1"/>
  <c r="A105" i="1"/>
  <c r="P104" i="1"/>
  <c r="N104" i="1"/>
  <c r="A104" i="1"/>
  <c r="P103" i="1"/>
  <c r="N103" i="1"/>
  <c r="J103" i="1"/>
  <c r="A103" i="1"/>
  <c r="P102" i="1"/>
  <c r="N102" i="1"/>
  <c r="A102" i="1"/>
  <c r="P101" i="1"/>
  <c r="N101" i="1"/>
  <c r="A101" i="1"/>
  <c r="P100" i="1"/>
  <c r="N100" i="1"/>
  <c r="A100" i="1"/>
  <c r="P99" i="1"/>
  <c r="N99" i="1"/>
  <c r="A99" i="1"/>
  <c r="P98" i="1"/>
  <c r="N98" i="1"/>
  <c r="A98" i="1"/>
  <c r="P97" i="1"/>
  <c r="N97" i="1"/>
  <c r="A97" i="1"/>
  <c r="P96" i="1"/>
  <c r="N96" i="1"/>
  <c r="A96" i="1"/>
  <c r="P95" i="1"/>
  <c r="N95" i="1"/>
  <c r="A95" i="1"/>
  <c r="P94" i="1"/>
  <c r="N94" i="1"/>
  <c r="A94" i="1"/>
  <c r="P93" i="1"/>
  <c r="N93" i="1"/>
  <c r="A93" i="1"/>
  <c r="P92" i="1"/>
  <c r="N92" i="1"/>
  <c r="A92" i="1"/>
  <c r="P91" i="1"/>
  <c r="N91" i="1"/>
  <c r="A91" i="1"/>
  <c r="P90" i="1"/>
  <c r="N90" i="1"/>
  <c r="A90" i="1"/>
  <c r="P89" i="1"/>
  <c r="N89" i="1"/>
  <c r="A89" i="1"/>
  <c r="P88" i="1"/>
  <c r="N88" i="1"/>
  <c r="A88" i="1"/>
  <c r="P87" i="1"/>
  <c r="N87" i="1"/>
  <c r="A87" i="1"/>
  <c r="P86" i="1"/>
  <c r="N86" i="1"/>
  <c r="A86" i="1"/>
  <c r="P85" i="1"/>
  <c r="N85" i="1"/>
  <c r="A85" i="1"/>
  <c r="P84" i="1"/>
  <c r="N84" i="1"/>
  <c r="A84" i="1"/>
  <c r="P83" i="1"/>
  <c r="N83" i="1"/>
  <c r="A83" i="1"/>
  <c r="P82" i="1"/>
  <c r="N82" i="1"/>
  <c r="A82" i="1"/>
  <c r="P81" i="1"/>
  <c r="N81" i="1"/>
  <c r="A81" i="1"/>
  <c r="P80" i="1"/>
  <c r="N80" i="1"/>
  <c r="A80" i="1"/>
  <c r="P79" i="1"/>
  <c r="N79" i="1"/>
  <c r="J79" i="1"/>
  <c r="A79" i="1"/>
  <c r="P78" i="1"/>
  <c r="N78" i="1"/>
  <c r="A78" i="1"/>
  <c r="P77" i="1"/>
  <c r="N77" i="1"/>
  <c r="A77" i="1"/>
  <c r="P76" i="1"/>
  <c r="N76" i="1"/>
  <c r="A76" i="1"/>
  <c r="P75" i="1"/>
  <c r="N75" i="1"/>
  <c r="A75" i="1"/>
  <c r="P74" i="1"/>
  <c r="N74" i="1"/>
  <c r="A74" i="1"/>
  <c r="P73" i="1"/>
  <c r="N73" i="1"/>
  <c r="A73" i="1"/>
  <c r="P72" i="1"/>
  <c r="N72" i="1"/>
  <c r="A72" i="1"/>
  <c r="P71" i="1"/>
  <c r="N71" i="1"/>
  <c r="J71" i="1"/>
  <c r="A71" i="1"/>
  <c r="P70" i="1"/>
  <c r="N70" i="1"/>
  <c r="A70" i="1"/>
  <c r="P69" i="1"/>
  <c r="N69" i="1"/>
  <c r="A69" i="1"/>
  <c r="P68" i="1"/>
  <c r="N68" i="1"/>
  <c r="A68" i="1"/>
  <c r="P67" i="1"/>
  <c r="N67" i="1"/>
  <c r="A67" i="1"/>
  <c r="P66" i="1"/>
  <c r="N66" i="1"/>
  <c r="A66" i="1"/>
  <c r="P65" i="1"/>
  <c r="N65" i="1"/>
  <c r="A65" i="1"/>
  <c r="P64" i="1"/>
  <c r="N64" i="1"/>
  <c r="A64" i="1"/>
  <c r="P63" i="1"/>
  <c r="N63" i="1"/>
  <c r="A63" i="1"/>
  <c r="P62" i="1"/>
  <c r="N62" i="1"/>
  <c r="A62" i="1"/>
  <c r="P61" i="1"/>
  <c r="N61" i="1"/>
  <c r="A61" i="1"/>
  <c r="P60" i="1"/>
  <c r="N60" i="1"/>
  <c r="A60" i="1"/>
  <c r="P59" i="1"/>
  <c r="N59" i="1"/>
  <c r="A59" i="1"/>
  <c r="P58" i="1"/>
  <c r="N58" i="1"/>
  <c r="A58" i="1"/>
  <c r="P57" i="1"/>
  <c r="N57" i="1"/>
  <c r="A57" i="1"/>
  <c r="P56" i="1"/>
  <c r="N56" i="1"/>
  <c r="A56" i="1"/>
  <c r="P55" i="1"/>
  <c r="N55" i="1"/>
  <c r="A55" i="1"/>
  <c r="P54" i="1"/>
  <c r="N54" i="1"/>
  <c r="A54" i="1"/>
  <c r="P53" i="1"/>
  <c r="N53" i="1"/>
  <c r="A53" i="1"/>
  <c r="P52" i="1"/>
  <c r="N52" i="1"/>
  <c r="A52" i="1"/>
  <c r="P51" i="1"/>
  <c r="N51" i="1"/>
  <c r="A51" i="1"/>
  <c r="P50" i="1"/>
  <c r="N50" i="1"/>
  <c r="A50" i="1"/>
  <c r="P49" i="1"/>
  <c r="N49" i="1"/>
  <c r="A49" i="1"/>
  <c r="P48" i="1"/>
  <c r="N48" i="1"/>
  <c r="A48" i="1"/>
  <c r="P47" i="1"/>
  <c r="N47" i="1"/>
  <c r="A47" i="1"/>
  <c r="P46" i="1"/>
  <c r="N46" i="1"/>
  <c r="A46" i="1"/>
  <c r="P45" i="1"/>
  <c r="N45" i="1"/>
  <c r="A45" i="1"/>
  <c r="P44" i="1"/>
  <c r="N44" i="1"/>
  <c r="A44" i="1"/>
  <c r="P43" i="1"/>
  <c r="N43" i="1"/>
  <c r="A43" i="1"/>
  <c r="P42" i="1"/>
  <c r="N42" i="1"/>
  <c r="A42" i="1"/>
  <c r="P41" i="1"/>
  <c r="N41" i="1"/>
  <c r="A41" i="1"/>
  <c r="P40" i="1"/>
  <c r="N40" i="1"/>
  <c r="A40" i="1"/>
  <c r="P39" i="1"/>
  <c r="N39" i="1"/>
  <c r="A39" i="1"/>
  <c r="P38" i="1"/>
  <c r="N38" i="1"/>
  <c r="A38" i="1"/>
  <c r="P37" i="1"/>
  <c r="N37" i="1"/>
  <c r="A37" i="1"/>
  <c r="P36" i="1"/>
  <c r="N36" i="1"/>
  <c r="A36" i="1"/>
  <c r="P35" i="1"/>
  <c r="N35" i="1"/>
  <c r="A35" i="1"/>
  <c r="P34" i="1"/>
  <c r="N34" i="1"/>
  <c r="A34" i="1"/>
  <c r="P33" i="1"/>
  <c r="N33" i="1"/>
  <c r="A33" i="1"/>
  <c r="P32" i="1"/>
  <c r="N32" i="1"/>
  <c r="A32" i="1"/>
  <c r="P31" i="1"/>
  <c r="N31" i="1"/>
  <c r="A31" i="1"/>
  <c r="P30" i="1"/>
  <c r="N30" i="1"/>
  <c r="A30" i="1"/>
  <c r="P29" i="1"/>
  <c r="N29" i="1"/>
  <c r="A29" i="1"/>
  <c r="P28" i="1"/>
  <c r="N28" i="1"/>
  <c r="A28" i="1"/>
  <c r="P27" i="1"/>
  <c r="N27" i="1"/>
  <c r="A27" i="1"/>
  <c r="P26" i="1"/>
  <c r="N26" i="1"/>
  <c r="A26" i="1"/>
  <c r="P25" i="1"/>
  <c r="N25" i="1"/>
  <c r="A25" i="1"/>
  <c r="P24" i="1"/>
  <c r="N24" i="1"/>
  <c r="A24" i="1"/>
  <c r="P23" i="1"/>
  <c r="N23" i="1"/>
  <c r="A23" i="1"/>
  <c r="P22" i="1"/>
  <c r="N22" i="1"/>
  <c r="A22" i="1"/>
  <c r="P21" i="1"/>
  <c r="N21" i="1"/>
  <c r="A21" i="1"/>
  <c r="P20" i="1"/>
  <c r="N20" i="1"/>
  <c r="A20" i="1"/>
  <c r="P19" i="1"/>
  <c r="N19" i="1"/>
  <c r="A19" i="1"/>
  <c r="P18" i="1"/>
  <c r="N18" i="1"/>
  <c r="A18" i="1"/>
  <c r="P17" i="1"/>
  <c r="N17" i="1"/>
  <c r="A17" i="1"/>
  <c r="P16" i="1"/>
  <c r="N16" i="1"/>
  <c r="A16" i="1"/>
  <c r="P15" i="1"/>
  <c r="N15" i="1"/>
  <c r="A15" i="1"/>
  <c r="P14" i="1"/>
  <c r="N14" i="1"/>
  <c r="A14" i="1"/>
  <c r="P13" i="1"/>
  <c r="N13" i="1"/>
  <c r="A13" i="1"/>
  <c r="P12" i="1"/>
  <c r="N12" i="1"/>
  <c r="A12" i="1"/>
  <c r="P11" i="1"/>
  <c r="N11" i="1"/>
  <c r="A11" i="1"/>
  <c r="P10" i="1"/>
  <c r="N10" i="1"/>
  <c r="A10" i="1"/>
  <c r="P9" i="1"/>
  <c r="N9" i="1"/>
  <c r="A9" i="1"/>
  <c r="P8" i="1"/>
  <c r="N8" i="1"/>
  <c r="A8" i="1"/>
  <c r="P7" i="1"/>
  <c r="N7" i="1"/>
  <c r="A7" i="1"/>
  <c r="P6" i="1"/>
  <c r="N6" i="1"/>
  <c r="A6" i="1"/>
  <c r="P5" i="1"/>
  <c r="N5" i="1"/>
  <c r="A5" i="1"/>
  <c r="P4" i="1"/>
  <c r="N4" i="1"/>
  <c r="A4" i="1"/>
  <c r="P3" i="1"/>
  <c r="N3" i="1"/>
  <c r="A3" i="1"/>
  <c r="P2" i="1"/>
  <c r="N2" i="1"/>
  <c r="A2" i="1"/>
</calcChain>
</file>

<file path=xl/sharedStrings.xml><?xml version="1.0" encoding="utf-8"?>
<sst xmlns="http://schemas.openxmlformats.org/spreadsheetml/2006/main" count="1699" uniqueCount="171">
  <si>
    <t xml:space="preserve">ELECCION </t>
  </si>
  <si>
    <t>SECCION</t>
  </si>
  <si>
    <t>MUNICIPIO</t>
  </si>
  <si>
    <t>CARGO</t>
  </si>
  <si>
    <t>PJ</t>
  </si>
  <si>
    <t>JUNTOS X EL CAMBIO</t>
  </si>
  <si>
    <t>LA LIBERTAD AVANZA</t>
  </si>
  <si>
    <t>FRENTE DE IZQUIERDA</t>
  </si>
  <si>
    <t>VECINALISTA</t>
  </si>
  <si>
    <t>TOTAL VOTOS POSITIVOS</t>
  </si>
  <si>
    <t>TOTAL VOTOS</t>
  </si>
  <si>
    <t>TOTAL ELECTORES</t>
  </si>
  <si>
    <t>% PJ</t>
  </si>
  <si>
    <t>% LLA (2025)</t>
  </si>
  <si>
    <t>% LLA+ JxC (2023)</t>
  </si>
  <si>
    <t>2023 - GENERAL</t>
  </si>
  <si>
    <t>SECCION CAPITAL</t>
  </si>
  <si>
    <t>LA PLATA</t>
  </si>
  <si>
    <t>SENADOR PROVINCIAL</t>
  </si>
  <si>
    <t>INTENDENTE &amp; CONCEJALES</t>
  </si>
  <si>
    <t>SECCION PRIMERA</t>
  </si>
  <si>
    <t>DIPUTADO PROVINCIAL</t>
  </si>
  <si>
    <t>CAMPANA</t>
  </si>
  <si>
    <t>ESCOBAR</t>
  </si>
  <si>
    <t>GENERAL LAS HERAS</t>
  </si>
  <si>
    <t>GENERAL RODRIGUEZ</t>
  </si>
  <si>
    <t>GENERAL SAN MARTIN</t>
  </si>
  <si>
    <t>SAN MIGUEL</t>
  </si>
  <si>
    <t>LUJAN</t>
  </si>
  <si>
    <t>MARCOS PAZ</t>
  </si>
  <si>
    <t>MERCEDES</t>
  </si>
  <si>
    <t>MERLO</t>
  </si>
  <si>
    <t>MORENO</t>
  </si>
  <si>
    <t>MORON</t>
  </si>
  <si>
    <t>NAVARRO</t>
  </si>
  <si>
    <t>PILAR</t>
  </si>
  <si>
    <t>SAN FERNANDO</t>
  </si>
  <si>
    <t>SAN ISIDRO</t>
  </si>
  <si>
    <t>SUIPACHA</t>
  </si>
  <si>
    <t>TIGRE</t>
  </si>
  <si>
    <t>TRES DE FEBRERO</t>
  </si>
  <si>
    <t>VICENTE LOPEZ</t>
  </si>
  <si>
    <t>JOSE C PAZ</t>
  </si>
  <si>
    <t>MALVINAS ARGENTINAS</t>
  </si>
  <si>
    <t>ITUZAINGO</t>
  </si>
  <si>
    <t>HURLINGHAM</t>
  </si>
  <si>
    <t>SECCION SEGUNDA</t>
  </si>
  <si>
    <t>BARADERO</t>
  </si>
  <si>
    <t>ARRRECIFES</t>
  </si>
  <si>
    <t>CAPITAN SARMIENTO</t>
  </si>
  <si>
    <t>CARMEN DE ARECO</t>
  </si>
  <si>
    <t>COLON</t>
  </si>
  <si>
    <t>EXALTACION DE LA CRUZ</t>
  </si>
  <si>
    <t>PERGAMINO</t>
  </si>
  <si>
    <t>RAMALLO</t>
  </si>
  <si>
    <t>ROJAS</t>
  </si>
  <si>
    <t>SALTO</t>
  </si>
  <si>
    <t>SAN ANDRES DE GILES</t>
  </si>
  <si>
    <t>SAN ANTONIO DE ARECO</t>
  </si>
  <si>
    <t>SAN NICOLAS</t>
  </si>
  <si>
    <t>SAN PEDRO</t>
  </si>
  <si>
    <t>ZARATE</t>
  </si>
  <si>
    <t>SECCION TERCERA</t>
  </si>
  <si>
    <t>ALMIRANTE BROWN</t>
  </si>
  <si>
    <t>AVELLANEDA</t>
  </si>
  <si>
    <t>BERAZATEGUI</t>
  </si>
  <si>
    <t>BERISSO</t>
  </si>
  <si>
    <t>BRANDSEN</t>
  </si>
  <si>
    <t>CANUELAS</t>
  </si>
  <si>
    <t>ENSENADA</t>
  </si>
  <si>
    <t>ESTEBAN ECHEVERRIA</t>
  </si>
  <si>
    <t>FLORENCIO VARELA</t>
  </si>
  <si>
    <t>LA MATANZA</t>
  </si>
  <si>
    <t>LANUS</t>
  </si>
  <si>
    <t>LOBOS</t>
  </si>
  <si>
    <t>LOMAS DE ZAMORA</t>
  </si>
  <si>
    <t>MAGDALENA</t>
  </si>
  <si>
    <t>QUILMES</t>
  </si>
  <si>
    <t>SAN VICENTE</t>
  </si>
  <si>
    <t>PRESIDENTE PERON</t>
  </si>
  <si>
    <t>PUNTA INDIO</t>
  </si>
  <si>
    <t>EZEIZA</t>
  </si>
  <si>
    <t>SECCION CUARTA</t>
  </si>
  <si>
    <t>ALBERTI</t>
  </si>
  <si>
    <t>BRAGADO</t>
  </si>
  <si>
    <t>CARLOS CASARES</t>
  </si>
  <si>
    <t>CARLOS TEJEDOR</t>
  </si>
  <si>
    <t>CHACABUCO</t>
  </si>
  <si>
    <t>CHIVILCOY</t>
  </si>
  <si>
    <t>GENERAL ARENALES</t>
  </si>
  <si>
    <t>GENERAL PINTO</t>
  </si>
  <si>
    <t>GENERAL VIAMONTE</t>
  </si>
  <si>
    <t>GENERAL VILLEGAS</t>
  </si>
  <si>
    <t>HIPOLITO YRIGOYEN</t>
  </si>
  <si>
    <t>JUNIN</t>
  </si>
  <si>
    <t>LEANDRO N ALEM</t>
  </si>
  <si>
    <t>LINCOLN</t>
  </si>
  <si>
    <t>NUEVE DE JULIO</t>
  </si>
  <si>
    <t>PEHUAJO</t>
  </si>
  <si>
    <t>RIVADAVIA</t>
  </si>
  <si>
    <t>TRENQUE LAUQUEN</t>
  </si>
  <si>
    <t>FLORENTINO AMEGHINO</t>
  </si>
  <si>
    <t>SECCION QUINTA</t>
  </si>
  <si>
    <t>AYACUCHO</t>
  </si>
  <si>
    <t>BALCARCE</t>
  </si>
  <si>
    <t>CASTELLI</t>
  </si>
  <si>
    <t>CHASCOMUS</t>
  </si>
  <si>
    <t>DOLORES</t>
  </si>
  <si>
    <t>GENERAL ALVARADO</t>
  </si>
  <si>
    <t>GENERAL BELGRANO</t>
  </si>
  <si>
    <t>GENERAL GUIDO</t>
  </si>
  <si>
    <t>GENERAL LAVALLE</t>
  </si>
  <si>
    <t>GENERAL MADARIAGA</t>
  </si>
  <si>
    <t>GENERAL PAZ</t>
  </si>
  <si>
    <t>GENERAL PUEYRREDON</t>
  </si>
  <si>
    <t>LAS FLORES</t>
  </si>
  <si>
    <t>LOBERIA</t>
  </si>
  <si>
    <t>MAIPU</t>
  </si>
  <si>
    <t>MAR CHIQUITA</t>
  </si>
  <si>
    <t>MONTE</t>
  </si>
  <si>
    <t>NECOCHEA</t>
  </si>
  <si>
    <t>PILA</t>
  </si>
  <si>
    <t>PARTIDO DE PINAMAR</t>
  </si>
  <si>
    <t>RAUCH</t>
  </si>
  <si>
    <t>SAN CAYETANO</t>
  </si>
  <si>
    <t>TANDIL</t>
  </si>
  <si>
    <t>TORDILLO</t>
  </si>
  <si>
    <t>PARTIDO DE LA COSTA</t>
  </si>
  <si>
    <t>VILLA GESELL</t>
  </si>
  <si>
    <t>LEZAMA</t>
  </si>
  <si>
    <t>SECCION SEXTA</t>
  </si>
  <si>
    <t>ADOLFO ALSINA</t>
  </si>
  <si>
    <t>BAHIA BLANCA</t>
  </si>
  <si>
    <t>PATAGONES</t>
  </si>
  <si>
    <t>CORONEL DORREGO</t>
  </si>
  <si>
    <t>CORONEL PRINGLES</t>
  </si>
  <si>
    <t>CORONEL ROSALES</t>
  </si>
  <si>
    <t>CORONEL SUAREZ</t>
  </si>
  <si>
    <t>DAIREAUX</t>
  </si>
  <si>
    <t>GENERAL LA MADRID</t>
  </si>
  <si>
    <t>ADOLFO GONZALEZ CHAVEZ</t>
  </si>
  <si>
    <t>GUAMINI</t>
  </si>
  <si>
    <t>BENITO JUAREZ</t>
  </si>
  <si>
    <t>LAPRIDA</t>
  </si>
  <si>
    <t>PELLEGRINI</t>
  </si>
  <si>
    <t>PUAN</t>
  </si>
  <si>
    <t>SAAVEDRA</t>
  </si>
  <si>
    <t>SALLIQUELO</t>
  </si>
  <si>
    <t>TORNQUIST</t>
  </si>
  <si>
    <t>TRES ARROYOS</t>
  </si>
  <si>
    <t>MONTE HERMOSO</t>
  </si>
  <si>
    <t>VILLARINO</t>
  </si>
  <si>
    <t>TRES LOMAS</t>
  </si>
  <si>
    <t>SECCION SEPTIMA</t>
  </si>
  <si>
    <t>AZUL</t>
  </si>
  <si>
    <t>BOLIVAR</t>
  </si>
  <si>
    <t>GENERAL ALVEAR</t>
  </si>
  <si>
    <t>OLAVARRIA</t>
  </si>
  <si>
    <t>ROQUE PEREZ</t>
  </si>
  <si>
    <t>SALADILLO</t>
  </si>
  <si>
    <t>TAPALQUE</t>
  </si>
  <si>
    <t>2025 - ELECCION PBA</t>
  </si>
  <si>
    <t xml:space="preserve">CONCEJALES </t>
  </si>
  <si>
    <t>ARRECIFES</t>
  </si>
  <si>
    <t>PARTIDO DE VILLA GESELL</t>
  </si>
  <si>
    <t>ADOLFO GONZALES CHAVES</t>
  </si>
  <si>
    <t>TORQUINST</t>
  </si>
  <si>
    <t>25 DE MAYO</t>
  </si>
  <si>
    <t xml:space="preserve">PILA </t>
  </si>
  <si>
    <t>2025 - ELECCION NACIONAL</t>
  </si>
  <si>
    <t>DIPUTADO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</si>
</sst>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indexed="8"/>
      <name val="Helvetica Neue"/>
      <family val="2"/>
    </font>
    <font>
      <sz val="10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F827-7B9A-1A46-BB69-D94C169F7B60}">
  <dimension ref="A1:P422"/>
  <sheetViews>
    <sheetView tabSelected="1" workbookViewId="0">
      <selection activeCell="B1" sqref="B1"/>
    </sheetView>
  </sheetViews>
  <sheetFormatPr baseColWidth="10" defaultRowHeight="16" x14ac:dyDescent="0.2"/>
  <cols>
    <col min="1" max="13" width="10.83203125" style="1"/>
    <col min="14" max="15" width="11.6640625" style="1" bestFit="1" customWidth="1"/>
    <col min="16" max="16" width="10.83203125" style="1"/>
  </cols>
  <sheetData>
    <row r="1" spans="1:16" ht="42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ht="42" x14ac:dyDescent="0.2">
      <c r="A2" s="1" t="str">
        <f>D2</f>
        <v>LA PLATA</v>
      </c>
      <c r="B2" s="2" t="s">
        <v>15</v>
      </c>
      <c r="C2" s="2" t="s">
        <v>16</v>
      </c>
      <c r="D2" s="2" t="s">
        <v>17</v>
      </c>
      <c r="E2" s="2" t="s">
        <v>18</v>
      </c>
      <c r="F2" s="1">
        <v>174832</v>
      </c>
      <c r="G2" s="1">
        <v>145281</v>
      </c>
      <c r="H2" s="1">
        <v>91206</v>
      </c>
      <c r="I2" s="1">
        <v>22042</v>
      </c>
      <c r="K2" s="1">
        <v>433361</v>
      </c>
      <c r="L2" s="1">
        <v>474561</v>
      </c>
      <c r="M2" s="1">
        <v>624845</v>
      </c>
      <c r="N2" s="1">
        <f>F2/K2</f>
        <v>0.40343270391198099</v>
      </c>
      <c r="P2" s="1">
        <f>(G2+H2)/K2</f>
        <v>0.54570438964281509</v>
      </c>
    </row>
    <row r="3" spans="1:16" ht="56" x14ac:dyDescent="0.2">
      <c r="A3" s="1" t="str">
        <f t="shared" ref="A3:A66" si="0">D3</f>
        <v>LA PLATA</v>
      </c>
      <c r="B3" s="2" t="s">
        <v>15</v>
      </c>
      <c r="C3" s="2" t="s">
        <v>16</v>
      </c>
      <c r="D3" s="2" t="s">
        <v>17</v>
      </c>
      <c r="E3" s="2" t="s">
        <v>19</v>
      </c>
      <c r="F3" s="1">
        <v>166479</v>
      </c>
      <c r="G3" s="1">
        <v>165873</v>
      </c>
      <c r="H3" s="1">
        <v>80442</v>
      </c>
      <c r="I3" s="1">
        <v>21881</v>
      </c>
      <c r="K3" s="1">
        <v>434675</v>
      </c>
      <c r="L3" s="1">
        <v>474561</v>
      </c>
      <c r="M3" s="1">
        <v>624845</v>
      </c>
      <c r="N3" s="1">
        <f t="shared" ref="N3:N66" si="1">F3/K3</f>
        <v>0.38299649163167881</v>
      </c>
      <c r="P3" s="1">
        <f t="shared" ref="P3:P66" si="2">(G3+H3)/K3</f>
        <v>0.56666474952550761</v>
      </c>
    </row>
    <row r="4" spans="1:16" ht="42" x14ac:dyDescent="0.2">
      <c r="A4" s="1" t="str">
        <f t="shared" si="0"/>
        <v>SECCION PRIMERA</v>
      </c>
      <c r="B4" s="2" t="s">
        <v>15</v>
      </c>
      <c r="C4" s="2" t="s">
        <v>20</v>
      </c>
      <c r="D4" s="2" t="s">
        <v>20</v>
      </c>
      <c r="E4" s="2" t="s">
        <v>21</v>
      </c>
      <c r="F4" s="1">
        <v>1504238</v>
      </c>
      <c r="G4" s="1">
        <v>897328</v>
      </c>
      <c r="H4" s="1">
        <v>840345</v>
      </c>
      <c r="I4" s="1">
        <v>148805</v>
      </c>
      <c r="K4" s="1">
        <v>3990716</v>
      </c>
      <c r="L4" s="1">
        <v>3754692</v>
      </c>
      <c r="M4" s="1">
        <v>4988779</v>
      </c>
      <c r="N4" s="1">
        <f t="shared" si="1"/>
        <v>0.37693436466037672</v>
      </c>
      <c r="P4" s="1">
        <f t="shared" si="2"/>
        <v>0.43542888043148148</v>
      </c>
    </row>
    <row r="5" spans="1:16" ht="56" x14ac:dyDescent="0.2">
      <c r="A5" s="1" t="str">
        <f t="shared" si="0"/>
        <v>CAMPANA</v>
      </c>
      <c r="B5" s="2" t="s">
        <v>15</v>
      </c>
      <c r="C5" s="2" t="s">
        <v>20</v>
      </c>
      <c r="D5" s="2" t="s">
        <v>22</v>
      </c>
      <c r="E5" s="2" t="s">
        <v>19</v>
      </c>
      <c r="F5" s="1">
        <v>17033</v>
      </c>
      <c r="G5" s="1">
        <v>36614</v>
      </c>
      <c r="H5" s="1">
        <v>8942</v>
      </c>
      <c r="I5" s="1">
        <v>1561</v>
      </c>
      <c r="K5" s="1">
        <v>64150</v>
      </c>
      <c r="L5" s="1">
        <v>70740</v>
      </c>
      <c r="M5" s="1">
        <v>89630</v>
      </c>
      <c r="N5" s="1">
        <f t="shared" si="1"/>
        <v>0.26551831644583007</v>
      </c>
      <c r="P5" s="1">
        <f t="shared" si="2"/>
        <v>0.71014809041309435</v>
      </c>
    </row>
    <row r="6" spans="1:16" ht="56" x14ac:dyDescent="0.2">
      <c r="A6" s="1" t="str">
        <f t="shared" si="0"/>
        <v>ESCOBAR</v>
      </c>
      <c r="B6" s="2" t="s">
        <v>15</v>
      </c>
      <c r="C6" s="2" t="s">
        <v>20</v>
      </c>
      <c r="D6" s="2" t="s">
        <v>23</v>
      </c>
      <c r="E6" s="2" t="s">
        <v>19</v>
      </c>
      <c r="F6" s="1">
        <v>75506</v>
      </c>
      <c r="G6" s="1">
        <v>26728</v>
      </c>
      <c r="H6" s="1">
        <v>37407</v>
      </c>
      <c r="I6" s="1">
        <v>4533</v>
      </c>
      <c r="K6" s="1">
        <v>144174</v>
      </c>
      <c r="L6" s="1">
        <v>161657</v>
      </c>
      <c r="M6" s="1">
        <v>210099</v>
      </c>
      <c r="N6" s="1">
        <f t="shared" si="1"/>
        <v>0.52371440065476438</v>
      </c>
      <c r="P6" s="1">
        <f t="shared" si="2"/>
        <v>0.44484442409865854</v>
      </c>
    </row>
    <row r="7" spans="1:16" ht="56" x14ac:dyDescent="0.2">
      <c r="A7" s="1" t="str">
        <f t="shared" si="0"/>
        <v>GENERAL LAS HERAS</v>
      </c>
      <c r="B7" s="2" t="s">
        <v>15</v>
      </c>
      <c r="C7" s="2" t="s">
        <v>20</v>
      </c>
      <c r="D7" s="2" t="s">
        <v>24</v>
      </c>
      <c r="E7" s="2" t="s">
        <v>19</v>
      </c>
      <c r="F7" s="1">
        <v>5774</v>
      </c>
      <c r="G7" s="1">
        <v>3596</v>
      </c>
      <c r="H7" s="1">
        <v>1563</v>
      </c>
      <c r="I7" s="1">
        <v>192</v>
      </c>
      <c r="K7" s="1">
        <v>11125</v>
      </c>
      <c r="L7" s="1">
        <v>12023</v>
      </c>
      <c r="M7" s="1">
        <v>14521</v>
      </c>
      <c r="N7" s="1">
        <f t="shared" si="1"/>
        <v>0.51901123595505616</v>
      </c>
      <c r="P7" s="1">
        <f t="shared" si="2"/>
        <v>0.46373033707865169</v>
      </c>
    </row>
    <row r="8" spans="1:16" ht="56" x14ac:dyDescent="0.2">
      <c r="A8" s="1" t="str">
        <f t="shared" si="0"/>
        <v>GENERAL RODRIGUEZ</v>
      </c>
      <c r="B8" s="2" t="s">
        <v>15</v>
      </c>
      <c r="C8" s="2" t="s">
        <v>20</v>
      </c>
      <c r="D8" s="2" t="s">
        <v>25</v>
      </c>
      <c r="E8" s="2" t="s">
        <v>19</v>
      </c>
      <c r="F8" s="1">
        <v>36559</v>
      </c>
      <c r="G8" s="1">
        <v>16606</v>
      </c>
      <c r="H8" s="1">
        <v>12283</v>
      </c>
      <c r="I8" s="1">
        <v>1698</v>
      </c>
      <c r="K8" s="1">
        <v>67146</v>
      </c>
      <c r="L8" s="1">
        <v>74603</v>
      </c>
      <c r="M8" s="1">
        <v>103592</v>
      </c>
      <c r="N8" s="1">
        <f t="shared" si="1"/>
        <v>0.54447025883894795</v>
      </c>
      <c r="P8" s="1">
        <f t="shared" si="2"/>
        <v>0.43024156316087331</v>
      </c>
    </row>
    <row r="9" spans="1:16" ht="56" x14ac:dyDescent="0.2">
      <c r="A9" s="1" t="str">
        <f t="shared" si="0"/>
        <v>GENERAL SAN MARTIN</v>
      </c>
      <c r="B9" s="2" t="s">
        <v>15</v>
      </c>
      <c r="C9" s="2" t="s">
        <v>20</v>
      </c>
      <c r="D9" s="2" t="s">
        <v>26</v>
      </c>
      <c r="E9" s="2" t="s">
        <v>19</v>
      </c>
      <c r="F9" s="1">
        <v>120625</v>
      </c>
      <c r="G9" s="1">
        <v>69814</v>
      </c>
      <c r="H9" s="1">
        <v>56603</v>
      </c>
      <c r="I9" s="1">
        <v>10580</v>
      </c>
      <c r="K9" s="1">
        <v>257622</v>
      </c>
      <c r="L9" s="1">
        <v>280433</v>
      </c>
      <c r="M9" s="1">
        <v>397029</v>
      </c>
      <c r="N9" s="1">
        <f t="shared" si="1"/>
        <v>0.46822476341306257</v>
      </c>
      <c r="P9" s="1">
        <f t="shared" si="2"/>
        <v>0.49070731536902906</v>
      </c>
    </row>
    <row r="10" spans="1:16" ht="56" x14ac:dyDescent="0.2">
      <c r="A10" s="1" t="str">
        <f t="shared" si="0"/>
        <v>SAN MIGUEL</v>
      </c>
      <c r="B10" s="2" t="s">
        <v>15</v>
      </c>
      <c r="C10" s="2" t="s">
        <v>20</v>
      </c>
      <c r="D10" s="2" t="s">
        <v>27</v>
      </c>
      <c r="E10" s="2" t="s">
        <v>19</v>
      </c>
      <c r="F10" s="1">
        <v>55855</v>
      </c>
      <c r="G10" s="1">
        <v>86328</v>
      </c>
      <c r="H10" s="1">
        <v>31314</v>
      </c>
      <c r="I10" s="1">
        <v>6334</v>
      </c>
      <c r="K10" s="1">
        <v>179831</v>
      </c>
      <c r="L10" s="1">
        <v>198934</v>
      </c>
      <c r="M10" s="1">
        <v>261514</v>
      </c>
      <c r="N10" s="1">
        <f t="shared" si="1"/>
        <v>0.31059717178906865</v>
      </c>
      <c r="P10" s="1">
        <f t="shared" si="2"/>
        <v>0.65418086981666124</v>
      </c>
    </row>
    <row r="11" spans="1:16" ht="56" x14ac:dyDescent="0.2">
      <c r="A11" s="1" t="str">
        <f t="shared" si="0"/>
        <v>LUJAN</v>
      </c>
      <c r="B11" s="2" t="s">
        <v>15</v>
      </c>
      <c r="C11" s="2" t="s">
        <v>20</v>
      </c>
      <c r="D11" s="2" t="s">
        <v>28</v>
      </c>
      <c r="E11" s="2" t="s">
        <v>19</v>
      </c>
      <c r="F11" s="1">
        <v>40283</v>
      </c>
      <c r="G11" s="1">
        <v>14298</v>
      </c>
      <c r="H11" s="1">
        <v>12094</v>
      </c>
      <c r="I11" s="1">
        <v>1488</v>
      </c>
      <c r="K11" s="1">
        <v>68163</v>
      </c>
      <c r="L11" s="1">
        <v>75863</v>
      </c>
      <c r="M11" s="1">
        <v>97993</v>
      </c>
      <c r="N11" s="1">
        <f t="shared" si="1"/>
        <v>0.59098044393585958</v>
      </c>
      <c r="P11" s="1">
        <f t="shared" si="2"/>
        <v>0.38718953097721637</v>
      </c>
    </row>
    <row r="12" spans="1:16" ht="56" x14ac:dyDescent="0.2">
      <c r="A12" s="1" t="str">
        <f t="shared" si="0"/>
        <v>MARCOS PAZ</v>
      </c>
      <c r="B12" s="2" t="s">
        <v>15</v>
      </c>
      <c r="C12" s="2" t="s">
        <v>20</v>
      </c>
      <c r="D12" s="2" t="s">
        <v>29</v>
      </c>
      <c r="E12" s="2" t="s">
        <v>19</v>
      </c>
      <c r="F12" s="1">
        <v>15811</v>
      </c>
      <c r="G12" s="1">
        <v>4929</v>
      </c>
      <c r="H12" s="1">
        <v>6628</v>
      </c>
      <c r="I12" s="1">
        <v>801</v>
      </c>
      <c r="J12" s="1">
        <v>8601</v>
      </c>
      <c r="K12" s="1">
        <v>36770</v>
      </c>
      <c r="L12" s="1">
        <v>40090</v>
      </c>
      <c r="M12" s="1">
        <v>51674</v>
      </c>
      <c r="N12" s="1">
        <f t="shared" si="1"/>
        <v>0.4299972803916236</v>
      </c>
      <c r="P12" s="1">
        <f t="shared" si="2"/>
        <v>0.3143051400598314</v>
      </c>
    </row>
    <row r="13" spans="1:16" ht="56" x14ac:dyDescent="0.2">
      <c r="A13" s="1" t="str">
        <f t="shared" si="0"/>
        <v>MERCEDES</v>
      </c>
      <c r="B13" s="2" t="s">
        <v>15</v>
      </c>
      <c r="C13" s="2" t="s">
        <v>20</v>
      </c>
      <c r="D13" s="2" t="s">
        <v>30</v>
      </c>
      <c r="E13" s="2" t="s">
        <v>19</v>
      </c>
      <c r="F13" s="1">
        <v>22616</v>
      </c>
      <c r="G13" s="1">
        <v>11089</v>
      </c>
      <c r="H13" s="1">
        <v>9130</v>
      </c>
      <c r="K13" s="1">
        <v>42835</v>
      </c>
      <c r="L13" s="1">
        <v>47336</v>
      </c>
      <c r="M13" s="1">
        <v>59154</v>
      </c>
      <c r="N13" s="1">
        <f t="shared" si="1"/>
        <v>0.52797945605229368</v>
      </c>
      <c r="P13" s="1">
        <f t="shared" si="2"/>
        <v>0.47202054394770632</v>
      </c>
    </row>
    <row r="14" spans="1:16" ht="56" x14ac:dyDescent="0.2">
      <c r="A14" s="1" t="str">
        <f t="shared" si="0"/>
        <v>MERLO</v>
      </c>
      <c r="B14" s="2" t="s">
        <v>15</v>
      </c>
      <c r="C14" s="2" t="s">
        <v>20</v>
      </c>
      <c r="D14" s="2" t="s">
        <v>31</v>
      </c>
      <c r="E14" s="2" t="s">
        <v>19</v>
      </c>
      <c r="F14" s="1">
        <v>127900</v>
      </c>
      <c r="G14" s="1">
        <v>53370</v>
      </c>
      <c r="H14" s="1">
        <v>69597</v>
      </c>
      <c r="I14" s="1">
        <v>15756</v>
      </c>
      <c r="J14" s="1">
        <v>30069</v>
      </c>
      <c r="K14" s="1">
        <v>296692</v>
      </c>
      <c r="L14" s="1">
        <v>341836</v>
      </c>
      <c r="M14" s="1">
        <v>454325</v>
      </c>
      <c r="N14" s="1">
        <f t="shared" si="1"/>
        <v>0.43108678360050151</v>
      </c>
      <c r="P14" s="1">
        <f t="shared" si="2"/>
        <v>0.41446011351839618</v>
      </c>
    </row>
    <row r="15" spans="1:16" ht="56" x14ac:dyDescent="0.2">
      <c r="A15" s="1" t="str">
        <f t="shared" si="0"/>
        <v>MORENO</v>
      </c>
      <c r="B15" s="2" t="s">
        <v>15</v>
      </c>
      <c r="C15" s="2" t="s">
        <v>20</v>
      </c>
      <c r="D15" s="2" t="s">
        <v>32</v>
      </c>
      <c r="E15" s="2" t="s">
        <v>19</v>
      </c>
      <c r="F15" s="1">
        <v>151586</v>
      </c>
      <c r="G15" s="1">
        <v>36588</v>
      </c>
      <c r="H15" s="1">
        <v>64552</v>
      </c>
      <c r="I15" s="1">
        <v>10705</v>
      </c>
      <c r="K15" s="1">
        <v>263431</v>
      </c>
      <c r="L15" s="1">
        <v>297242</v>
      </c>
      <c r="M15" s="1">
        <v>404871</v>
      </c>
      <c r="N15" s="1">
        <f t="shared" si="1"/>
        <v>0.57542961914125523</v>
      </c>
      <c r="P15" s="1">
        <f t="shared" si="2"/>
        <v>0.38393355375791005</v>
      </c>
    </row>
    <row r="16" spans="1:16" ht="56" x14ac:dyDescent="0.2">
      <c r="A16" s="1" t="str">
        <f t="shared" si="0"/>
        <v>MORON</v>
      </c>
      <c r="B16" s="2" t="s">
        <v>15</v>
      </c>
      <c r="C16" s="2" t="s">
        <v>20</v>
      </c>
      <c r="D16" s="2" t="s">
        <v>33</v>
      </c>
      <c r="E16" s="2" t="s">
        <v>19</v>
      </c>
      <c r="F16" s="1">
        <v>91100</v>
      </c>
      <c r="G16" s="1">
        <v>65701</v>
      </c>
      <c r="H16" s="1">
        <v>42638</v>
      </c>
      <c r="I16" s="1">
        <v>8742</v>
      </c>
      <c r="K16" s="1">
        <v>208181</v>
      </c>
      <c r="L16" s="1">
        <v>224666</v>
      </c>
      <c r="M16" s="1">
        <v>294201</v>
      </c>
      <c r="N16" s="1">
        <f t="shared" si="1"/>
        <v>0.43759997310033094</v>
      </c>
      <c r="P16" s="1">
        <f t="shared" si="2"/>
        <v>0.52040772212641884</v>
      </c>
    </row>
    <row r="17" spans="1:16" ht="56" x14ac:dyDescent="0.2">
      <c r="A17" s="1" t="str">
        <f t="shared" si="0"/>
        <v>NAVARRO</v>
      </c>
      <c r="B17" s="2" t="s">
        <v>15</v>
      </c>
      <c r="C17" s="2" t="s">
        <v>20</v>
      </c>
      <c r="D17" s="2" t="s">
        <v>34</v>
      </c>
      <c r="E17" s="2" t="s">
        <v>19</v>
      </c>
      <c r="F17" s="1">
        <v>4678</v>
      </c>
      <c r="G17" s="1">
        <v>3979</v>
      </c>
      <c r="H17" s="1">
        <v>2176</v>
      </c>
      <c r="J17" s="1">
        <v>1121</v>
      </c>
      <c r="K17" s="1">
        <v>11954</v>
      </c>
      <c r="L17" s="1">
        <v>12865</v>
      </c>
      <c r="M17" s="1">
        <v>15847</v>
      </c>
      <c r="N17" s="1">
        <f t="shared" si="1"/>
        <v>0.39133344487200938</v>
      </c>
      <c r="P17" s="1">
        <f t="shared" si="2"/>
        <v>0.51489041325079477</v>
      </c>
    </row>
    <row r="18" spans="1:16" ht="56" x14ac:dyDescent="0.2">
      <c r="A18" s="1" t="str">
        <f t="shared" si="0"/>
        <v>PILAR</v>
      </c>
      <c r="B18" s="2" t="s">
        <v>15</v>
      </c>
      <c r="C18" s="2" t="s">
        <v>20</v>
      </c>
      <c r="D18" s="2" t="s">
        <v>35</v>
      </c>
      <c r="E18" s="2" t="s">
        <v>19</v>
      </c>
      <c r="F18" s="1">
        <v>121094</v>
      </c>
      <c r="G18" s="1">
        <v>36565</v>
      </c>
      <c r="H18" s="1">
        <v>47959</v>
      </c>
      <c r="I18" s="1">
        <v>5079</v>
      </c>
      <c r="K18" s="1">
        <v>210697</v>
      </c>
      <c r="L18" s="1">
        <v>234403</v>
      </c>
      <c r="M18" s="1">
        <v>303901</v>
      </c>
      <c r="N18" s="1">
        <f t="shared" si="1"/>
        <v>0.57473053721695133</v>
      </c>
      <c r="P18" s="1">
        <f t="shared" si="2"/>
        <v>0.40116375648443026</v>
      </c>
    </row>
    <row r="19" spans="1:16" ht="56" x14ac:dyDescent="0.2">
      <c r="A19" s="1" t="str">
        <f t="shared" si="0"/>
        <v>SAN FERNANDO</v>
      </c>
      <c r="B19" s="2" t="s">
        <v>15</v>
      </c>
      <c r="C19" s="2" t="s">
        <v>20</v>
      </c>
      <c r="D19" s="2" t="s">
        <v>36</v>
      </c>
      <c r="E19" s="2" t="s">
        <v>19</v>
      </c>
      <c r="F19" s="1">
        <v>57604</v>
      </c>
      <c r="G19" s="1">
        <v>20523</v>
      </c>
      <c r="H19" s="1">
        <v>19174</v>
      </c>
      <c r="I19" s="1">
        <v>2939</v>
      </c>
      <c r="K19" s="1">
        <v>100240</v>
      </c>
      <c r="L19" s="1">
        <v>110046</v>
      </c>
      <c r="M19" s="1">
        <v>146342</v>
      </c>
      <c r="N19" s="1">
        <f t="shared" si="1"/>
        <v>0.57466081404628888</v>
      </c>
      <c r="P19" s="1">
        <f t="shared" si="2"/>
        <v>0.39601955307262571</v>
      </c>
    </row>
    <row r="20" spans="1:16" ht="56" x14ac:dyDescent="0.2">
      <c r="A20" s="1" t="str">
        <f t="shared" si="0"/>
        <v>SAN ISIDRO</v>
      </c>
      <c r="B20" s="2" t="s">
        <v>15</v>
      </c>
      <c r="C20" s="2" t="s">
        <v>20</v>
      </c>
      <c r="D20" s="2" t="s">
        <v>37</v>
      </c>
      <c r="E20" s="2" t="s">
        <v>19</v>
      </c>
      <c r="F20" s="1">
        <v>54206</v>
      </c>
      <c r="G20" s="1">
        <v>98193</v>
      </c>
      <c r="H20" s="1">
        <v>42428</v>
      </c>
      <c r="I20" s="1">
        <v>7541</v>
      </c>
      <c r="K20" s="1">
        <v>202368</v>
      </c>
      <c r="L20" s="1">
        <v>217135</v>
      </c>
      <c r="M20" s="1">
        <v>291804</v>
      </c>
      <c r="N20" s="1">
        <f t="shared" si="1"/>
        <v>0.26785855471220749</v>
      </c>
      <c r="P20" s="1">
        <f t="shared" si="2"/>
        <v>0.69487764864010115</v>
      </c>
    </row>
    <row r="21" spans="1:16" ht="56" x14ac:dyDescent="0.2">
      <c r="A21" s="1" t="str">
        <f t="shared" si="0"/>
        <v>SUIPACHA</v>
      </c>
      <c r="B21" s="2" t="s">
        <v>15</v>
      </c>
      <c r="C21" s="2" t="s">
        <v>20</v>
      </c>
      <c r="D21" s="2" t="s">
        <v>38</v>
      </c>
      <c r="E21" s="2" t="s">
        <v>19</v>
      </c>
      <c r="F21" s="1">
        <v>3686</v>
      </c>
      <c r="G21" s="1">
        <v>3299</v>
      </c>
      <c r="H21" s="1">
        <v>797</v>
      </c>
      <c r="K21" s="1">
        <v>7782</v>
      </c>
      <c r="L21" s="1">
        <v>8286</v>
      </c>
      <c r="M21" s="1">
        <v>9991</v>
      </c>
      <c r="N21" s="1">
        <f t="shared" si="1"/>
        <v>0.47365715754304805</v>
      </c>
      <c r="P21" s="1">
        <f t="shared" si="2"/>
        <v>0.52634284245695195</v>
      </c>
    </row>
    <row r="22" spans="1:16" ht="56" x14ac:dyDescent="0.2">
      <c r="A22" s="1" t="str">
        <f t="shared" si="0"/>
        <v>TIGRE</v>
      </c>
      <c r="B22" s="2" t="s">
        <v>15</v>
      </c>
      <c r="C22" s="2" t="s">
        <v>20</v>
      </c>
      <c r="D22" s="2" t="s">
        <v>39</v>
      </c>
      <c r="E22" s="2" t="s">
        <v>19</v>
      </c>
      <c r="F22" s="1">
        <v>120226</v>
      </c>
      <c r="G22" s="1">
        <v>57957</v>
      </c>
      <c r="H22" s="1">
        <v>51802</v>
      </c>
      <c r="I22" s="1">
        <v>8979</v>
      </c>
      <c r="K22" s="1">
        <v>238964</v>
      </c>
      <c r="L22" s="1">
        <v>267151</v>
      </c>
      <c r="M22" s="1">
        <v>353525</v>
      </c>
      <c r="N22" s="1">
        <f t="shared" si="1"/>
        <v>0.50311343968129085</v>
      </c>
      <c r="P22" s="1">
        <f t="shared" si="2"/>
        <v>0.45931186287474263</v>
      </c>
    </row>
    <row r="23" spans="1:16" ht="56" x14ac:dyDescent="0.2">
      <c r="A23" s="1" t="str">
        <f t="shared" si="0"/>
        <v>TRES DE FEBRERO</v>
      </c>
      <c r="B23" s="2" t="s">
        <v>15</v>
      </c>
      <c r="C23" s="2" t="s">
        <v>20</v>
      </c>
      <c r="D23" s="2" t="s">
        <v>40</v>
      </c>
      <c r="E23" s="2" t="s">
        <v>19</v>
      </c>
      <c r="F23" s="1">
        <v>69875</v>
      </c>
      <c r="G23" s="1">
        <v>99172</v>
      </c>
      <c r="H23" s="1">
        <v>33963</v>
      </c>
      <c r="I23" s="1">
        <v>8175</v>
      </c>
      <c r="K23" s="1">
        <v>211185</v>
      </c>
      <c r="L23" s="1">
        <v>230336</v>
      </c>
      <c r="M23" s="1">
        <v>312707</v>
      </c>
      <c r="N23" s="1">
        <f t="shared" si="1"/>
        <v>0.33087103724222838</v>
      </c>
      <c r="P23" s="1">
        <f t="shared" si="2"/>
        <v>0.63041882709472741</v>
      </c>
    </row>
    <row r="24" spans="1:16" ht="56" x14ac:dyDescent="0.2">
      <c r="A24" s="1" t="str">
        <f t="shared" si="0"/>
        <v>VICENTE LOPEZ</v>
      </c>
      <c r="B24" s="2" t="s">
        <v>15</v>
      </c>
      <c r="C24" s="2" t="s">
        <v>20</v>
      </c>
      <c r="D24" s="2" t="s">
        <v>41</v>
      </c>
      <c r="E24" s="2" t="s">
        <v>19</v>
      </c>
      <c r="F24" s="1">
        <v>45152</v>
      </c>
      <c r="G24" s="1">
        <v>86444</v>
      </c>
      <c r="H24" s="1">
        <v>33878</v>
      </c>
      <c r="I24" s="1">
        <v>8045</v>
      </c>
      <c r="K24" s="1">
        <v>173428</v>
      </c>
      <c r="L24" s="1">
        <v>185623</v>
      </c>
      <c r="M24" s="1">
        <v>250388</v>
      </c>
      <c r="N24" s="1">
        <f t="shared" si="1"/>
        <v>0.26035011647484835</v>
      </c>
      <c r="P24" s="1">
        <f t="shared" si="2"/>
        <v>0.69378647046613007</v>
      </c>
    </row>
    <row r="25" spans="1:16" ht="56" x14ac:dyDescent="0.2">
      <c r="A25" s="1" t="str">
        <f t="shared" si="0"/>
        <v>JOSE C PAZ</v>
      </c>
      <c r="B25" s="2" t="s">
        <v>15</v>
      </c>
      <c r="C25" s="2" t="s">
        <v>20</v>
      </c>
      <c r="D25" s="2" t="s">
        <v>42</v>
      </c>
      <c r="E25" s="2" t="s">
        <v>19</v>
      </c>
      <c r="F25" s="1">
        <v>86175</v>
      </c>
      <c r="G25" s="1">
        <v>29392</v>
      </c>
      <c r="H25" s="1">
        <v>39570</v>
      </c>
      <c r="I25" s="1">
        <v>7978</v>
      </c>
      <c r="K25" s="1">
        <v>163655</v>
      </c>
      <c r="L25" s="1">
        <v>188166</v>
      </c>
      <c r="M25" s="1">
        <v>248911</v>
      </c>
      <c r="N25" s="1">
        <f t="shared" si="1"/>
        <v>0.52656503009379485</v>
      </c>
      <c r="P25" s="1">
        <f t="shared" si="2"/>
        <v>0.42138645320949558</v>
      </c>
    </row>
    <row r="26" spans="1:16" ht="56" x14ac:dyDescent="0.2">
      <c r="A26" s="1" t="str">
        <f t="shared" si="0"/>
        <v>MALVINAS ARGENTINAS</v>
      </c>
      <c r="B26" s="2" t="s">
        <v>15</v>
      </c>
      <c r="C26" s="2" t="s">
        <v>20</v>
      </c>
      <c r="D26" s="2" t="s">
        <v>43</v>
      </c>
      <c r="E26" s="2" t="s">
        <v>19</v>
      </c>
      <c r="F26" s="1">
        <v>123201</v>
      </c>
      <c r="G26" s="1">
        <v>30529</v>
      </c>
      <c r="H26" s="1">
        <v>44041</v>
      </c>
      <c r="I26" s="1">
        <v>7619</v>
      </c>
      <c r="K26" s="1">
        <v>205390</v>
      </c>
      <c r="L26" s="1">
        <v>228212</v>
      </c>
      <c r="M26" s="1">
        <v>291923</v>
      </c>
      <c r="N26" s="1">
        <f t="shared" si="1"/>
        <v>0.59983933005501733</v>
      </c>
      <c r="P26" s="1">
        <f t="shared" si="2"/>
        <v>0.36306538779882175</v>
      </c>
    </row>
    <row r="27" spans="1:16" ht="56" x14ac:dyDescent="0.2">
      <c r="A27" s="1" t="str">
        <f t="shared" si="0"/>
        <v>ITUZAINGO</v>
      </c>
      <c r="B27" s="2" t="s">
        <v>15</v>
      </c>
      <c r="C27" s="2" t="s">
        <v>20</v>
      </c>
      <c r="D27" s="2" t="s">
        <v>44</v>
      </c>
      <c r="E27" s="2" t="s">
        <v>19</v>
      </c>
      <c r="F27" s="1">
        <v>47528</v>
      </c>
      <c r="G27" s="1">
        <v>36126</v>
      </c>
      <c r="H27" s="1">
        <v>21548</v>
      </c>
      <c r="I27" s="1">
        <v>5127</v>
      </c>
      <c r="K27" s="1">
        <v>110329</v>
      </c>
      <c r="L27" s="1">
        <v>120154</v>
      </c>
      <c r="M27" s="1">
        <v>154249</v>
      </c>
      <c r="N27" s="1">
        <f t="shared" si="1"/>
        <v>0.43078429062168605</v>
      </c>
      <c r="P27" s="1">
        <f t="shared" si="2"/>
        <v>0.5227456063229069</v>
      </c>
    </row>
    <row r="28" spans="1:16" ht="56" x14ac:dyDescent="0.2">
      <c r="A28" s="1" t="str">
        <f t="shared" si="0"/>
        <v>HURLINGHAM</v>
      </c>
      <c r="B28" s="2" t="s">
        <v>15</v>
      </c>
      <c r="C28" s="2" t="s">
        <v>20</v>
      </c>
      <c r="D28" s="2" t="s">
        <v>45</v>
      </c>
      <c r="E28" s="2" t="s">
        <v>19</v>
      </c>
      <c r="F28" s="1">
        <v>52685</v>
      </c>
      <c r="G28" s="1">
        <v>36847</v>
      </c>
      <c r="H28" s="1">
        <v>22616</v>
      </c>
      <c r="I28" s="1">
        <v>4482</v>
      </c>
      <c r="K28" s="1">
        <v>116630</v>
      </c>
      <c r="L28" s="1">
        <v>126882</v>
      </c>
      <c r="M28" s="1">
        <v>170588</v>
      </c>
      <c r="N28" s="1">
        <f t="shared" si="1"/>
        <v>0.45172768584412243</v>
      </c>
      <c r="P28" s="1">
        <f t="shared" si="2"/>
        <v>0.50984309354368518</v>
      </c>
    </row>
    <row r="29" spans="1:16" ht="42" x14ac:dyDescent="0.2">
      <c r="A29" s="1" t="str">
        <f t="shared" si="0"/>
        <v>SECCION SEGUNDA</v>
      </c>
      <c r="B29" s="2" t="s">
        <v>15</v>
      </c>
      <c r="C29" s="2" t="s">
        <v>46</v>
      </c>
      <c r="D29" s="2" t="s">
        <v>46</v>
      </c>
      <c r="E29" s="2" t="s">
        <v>18</v>
      </c>
      <c r="F29" s="1">
        <v>164288</v>
      </c>
      <c r="G29" s="1">
        <v>140824</v>
      </c>
      <c r="H29" s="1">
        <v>124174</v>
      </c>
      <c r="I29" s="1">
        <v>10620</v>
      </c>
      <c r="K29" s="1">
        <v>439906</v>
      </c>
      <c r="L29" s="1">
        <v>515467</v>
      </c>
      <c r="M29" s="1">
        <v>649242</v>
      </c>
      <c r="N29" s="1">
        <f t="shared" si="1"/>
        <v>0.37346160316067523</v>
      </c>
      <c r="P29" s="1">
        <f t="shared" si="2"/>
        <v>0.60239687569617151</v>
      </c>
    </row>
    <row r="30" spans="1:16" ht="56" x14ac:dyDescent="0.2">
      <c r="A30" s="1" t="str">
        <f t="shared" si="0"/>
        <v>BARADERO</v>
      </c>
      <c r="B30" s="2" t="s">
        <v>15</v>
      </c>
      <c r="C30" s="2" t="s">
        <v>46</v>
      </c>
      <c r="D30" s="2" t="s">
        <v>47</v>
      </c>
      <c r="E30" s="2" t="s">
        <v>19</v>
      </c>
      <c r="F30" s="1">
        <v>12618</v>
      </c>
      <c r="G30" s="1">
        <v>3779</v>
      </c>
      <c r="H30" s="1">
        <v>4232</v>
      </c>
      <c r="J30" s="1">
        <v>2023</v>
      </c>
      <c r="K30" s="1">
        <v>22652</v>
      </c>
      <c r="L30" s="1">
        <v>25192</v>
      </c>
      <c r="M30" s="1">
        <v>31660</v>
      </c>
      <c r="N30" s="1">
        <f t="shared" si="1"/>
        <v>0.55703690623344515</v>
      </c>
      <c r="P30" s="1">
        <f t="shared" si="2"/>
        <v>0.35365530637471304</v>
      </c>
    </row>
    <row r="31" spans="1:16" ht="56" x14ac:dyDescent="0.2">
      <c r="A31" s="1" t="str">
        <f t="shared" si="0"/>
        <v>ARRRECIFES</v>
      </c>
      <c r="B31" s="2" t="s">
        <v>15</v>
      </c>
      <c r="C31" s="2" t="s">
        <v>46</v>
      </c>
      <c r="D31" s="2" t="s">
        <v>48</v>
      </c>
      <c r="E31" s="2" t="s">
        <v>19</v>
      </c>
      <c r="F31" s="1">
        <v>8214</v>
      </c>
      <c r="G31" s="1">
        <v>8602</v>
      </c>
      <c r="H31" s="1">
        <v>2731</v>
      </c>
      <c r="K31" s="1">
        <v>19547</v>
      </c>
      <c r="L31" s="1">
        <v>21309</v>
      </c>
      <c r="M31" s="1">
        <v>26214</v>
      </c>
      <c r="N31" s="1">
        <f t="shared" si="1"/>
        <v>0.42021793625620302</v>
      </c>
      <c r="P31" s="1">
        <f t="shared" si="2"/>
        <v>0.57978206374379704</v>
      </c>
    </row>
    <row r="32" spans="1:16" ht="56" x14ac:dyDescent="0.2">
      <c r="A32" s="1" t="str">
        <f t="shared" si="0"/>
        <v>CAPITAN SARMIENTO</v>
      </c>
      <c r="B32" s="2" t="s">
        <v>15</v>
      </c>
      <c r="C32" s="2" t="s">
        <v>46</v>
      </c>
      <c r="D32" s="2" t="s">
        <v>49</v>
      </c>
      <c r="E32" s="2" t="s">
        <v>19</v>
      </c>
      <c r="F32" s="1">
        <v>2766</v>
      </c>
      <c r="G32" s="1">
        <v>5228</v>
      </c>
      <c r="H32" s="1">
        <v>1821</v>
      </c>
      <c r="K32" s="1">
        <v>9815</v>
      </c>
      <c r="L32" s="1">
        <v>10980</v>
      </c>
      <c r="M32" s="1">
        <v>13785</v>
      </c>
      <c r="N32" s="1">
        <f t="shared" si="1"/>
        <v>0.28181355068772285</v>
      </c>
      <c r="P32" s="1">
        <f t="shared" si="2"/>
        <v>0.71818644931227715</v>
      </c>
    </row>
    <row r="33" spans="1:16" ht="56" x14ac:dyDescent="0.2">
      <c r="A33" s="1" t="str">
        <f t="shared" si="0"/>
        <v>CARMEN DE ARECO</v>
      </c>
      <c r="B33" s="2" t="s">
        <v>15</v>
      </c>
      <c r="C33" s="2" t="s">
        <v>46</v>
      </c>
      <c r="D33" s="2" t="s">
        <v>50</v>
      </c>
      <c r="E33" s="2" t="s">
        <v>19</v>
      </c>
      <c r="F33" s="1">
        <v>5964</v>
      </c>
      <c r="G33" s="1">
        <v>3090</v>
      </c>
      <c r="H33" s="1">
        <v>1367</v>
      </c>
      <c r="K33" s="1">
        <v>10421</v>
      </c>
      <c r="L33" s="1">
        <v>11326</v>
      </c>
      <c r="M33" s="1">
        <v>13975</v>
      </c>
      <c r="N33" s="1">
        <f t="shared" si="1"/>
        <v>0.57230592073697339</v>
      </c>
      <c r="P33" s="1">
        <f t="shared" si="2"/>
        <v>0.42769407926302661</v>
      </c>
    </row>
    <row r="34" spans="1:16" ht="56" x14ac:dyDescent="0.2">
      <c r="A34" s="1" t="str">
        <f t="shared" si="0"/>
        <v>COLON</v>
      </c>
      <c r="B34" s="2" t="s">
        <v>15</v>
      </c>
      <c r="C34" s="2" t="s">
        <v>46</v>
      </c>
      <c r="D34" s="2" t="s">
        <v>51</v>
      </c>
      <c r="E34" s="2" t="s">
        <v>19</v>
      </c>
      <c r="F34" s="1">
        <v>7715</v>
      </c>
      <c r="G34" s="1">
        <v>5806</v>
      </c>
      <c r="H34" s="1">
        <v>2044</v>
      </c>
      <c r="J34" s="1">
        <v>393</v>
      </c>
      <c r="K34" s="1">
        <v>15958</v>
      </c>
      <c r="L34" s="1">
        <v>17649</v>
      </c>
      <c r="M34" s="1">
        <v>22351</v>
      </c>
      <c r="N34" s="1">
        <f t="shared" si="1"/>
        <v>0.48345657350545179</v>
      </c>
      <c r="P34" s="1">
        <f t="shared" si="2"/>
        <v>0.49191628023561851</v>
      </c>
    </row>
    <row r="35" spans="1:16" ht="56" x14ac:dyDescent="0.2">
      <c r="A35" s="1" t="str">
        <f t="shared" si="0"/>
        <v>EXALTACION DE LA CRUZ</v>
      </c>
      <c r="B35" s="2" t="s">
        <v>15</v>
      </c>
      <c r="C35" s="2" t="s">
        <v>46</v>
      </c>
      <c r="D35" s="2" t="s">
        <v>52</v>
      </c>
      <c r="E35" s="2" t="s">
        <v>19</v>
      </c>
      <c r="F35" s="1">
        <v>11082</v>
      </c>
      <c r="G35" s="1">
        <v>7505</v>
      </c>
      <c r="H35" s="1">
        <v>4885</v>
      </c>
      <c r="K35" s="1">
        <v>23472</v>
      </c>
      <c r="L35" s="1">
        <v>26609</v>
      </c>
      <c r="M35" s="1">
        <v>34600</v>
      </c>
      <c r="N35" s="1">
        <f t="shared" si="1"/>
        <v>0.47213701431492844</v>
      </c>
      <c r="P35" s="1">
        <f t="shared" si="2"/>
        <v>0.52786298568507162</v>
      </c>
    </row>
    <row r="36" spans="1:16" ht="56" x14ac:dyDescent="0.2">
      <c r="A36" s="1" t="str">
        <f t="shared" si="0"/>
        <v>PERGAMINO</v>
      </c>
      <c r="B36" s="2" t="s">
        <v>15</v>
      </c>
      <c r="C36" s="2" t="s">
        <v>46</v>
      </c>
      <c r="D36" s="2" t="s">
        <v>53</v>
      </c>
      <c r="E36" s="2" t="s">
        <v>19</v>
      </c>
      <c r="F36" s="1">
        <v>17720</v>
      </c>
      <c r="G36" s="1">
        <v>25545</v>
      </c>
      <c r="H36" s="1">
        <v>17927</v>
      </c>
      <c r="J36" s="1">
        <v>1734</v>
      </c>
      <c r="K36" s="1">
        <v>62926</v>
      </c>
      <c r="L36" s="1">
        <v>72823</v>
      </c>
      <c r="M36" s="1">
        <v>93050</v>
      </c>
      <c r="N36" s="1">
        <f t="shared" si="1"/>
        <v>0.28160061024060007</v>
      </c>
      <c r="P36" s="1">
        <f t="shared" si="2"/>
        <v>0.69084321266249249</v>
      </c>
    </row>
    <row r="37" spans="1:16" ht="56" x14ac:dyDescent="0.2">
      <c r="A37" s="1" t="str">
        <f t="shared" si="0"/>
        <v>RAMALLO</v>
      </c>
      <c r="B37" s="2" t="s">
        <v>15</v>
      </c>
      <c r="C37" s="2" t="s">
        <v>46</v>
      </c>
      <c r="D37" s="2" t="s">
        <v>54</v>
      </c>
      <c r="E37" s="2" t="s">
        <v>19</v>
      </c>
      <c r="F37" s="1">
        <v>10396</v>
      </c>
      <c r="G37" s="1">
        <v>8676</v>
      </c>
      <c r="H37" s="1">
        <v>2561</v>
      </c>
      <c r="J37" s="1">
        <v>2199</v>
      </c>
      <c r="K37" s="1">
        <v>23932</v>
      </c>
      <c r="L37" s="1">
        <v>25851</v>
      </c>
      <c r="M37" s="1">
        <v>31219</v>
      </c>
      <c r="N37" s="1">
        <f t="shared" si="1"/>
        <v>0.43439745946849406</v>
      </c>
      <c r="P37" s="1">
        <f t="shared" si="2"/>
        <v>0.46953869296339629</v>
      </c>
    </row>
    <row r="38" spans="1:16" ht="56" x14ac:dyDescent="0.2">
      <c r="A38" s="1" t="str">
        <f t="shared" si="0"/>
        <v>ROJAS</v>
      </c>
      <c r="B38" s="2" t="s">
        <v>15</v>
      </c>
      <c r="C38" s="2" t="s">
        <v>46</v>
      </c>
      <c r="D38" s="2" t="s">
        <v>55</v>
      </c>
      <c r="E38" s="2" t="s">
        <v>19</v>
      </c>
      <c r="F38" s="1">
        <v>3131</v>
      </c>
      <c r="G38" s="1">
        <v>8136</v>
      </c>
      <c r="H38" s="1">
        <v>3111</v>
      </c>
      <c r="J38" s="1">
        <v>792</v>
      </c>
      <c r="K38" s="1">
        <v>15170</v>
      </c>
      <c r="L38" s="1">
        <v>17012</v>
      </c>
      <c r="M38" s="1">
        <v>21103</v>
      </c>
      <c r="N38" s="1">
        <f t="shared" si="1"/>
        <v>0.20639419907712592</v>
      </c>
      <c r="P38" s="1">
        <f t="shared" si="2"/>
        <v>0.7413974950560317</v>
      </c>
    </row>
    <row r="39" spans="1:16" ht="56" x14ac:dyDescent="0.2">
      <c r="A39" s="1" t="str">
        <f t="shared" si="0"/>
        <v>SALTO</v>
      </c>
      <c r="B39" s="2" t="s">
        <v>15</v>
      </c>
      <c r="C39" s="2" t="s">
        <v>46</v>
      </c>
      <c r="D39" s="2" t="s">
        <v>56</v>
      </c>
      <c r="E39" s="2" t="s">
        <v>19</v>
      </c>
      <c r="F39" s="1">
        <v>11102</v>
      </c>
      <c r="G39" s="1">
        <v>4846</v>
      </c>
      <c r="H39" s="1">
        <v>5081</v>
      </c>
      <c r="K39" s="1">
        <v>21029</v>
      </c>
      <c r="L39" s="1">
        <v>24102</v>
      </c>
      <c r="M39" s="1">
        <v>30772</v>
      </c>
      <c r="N39" s="1">
        <f t="shared" si="1"/>
        <v>0.52793760996718819</v>
      </c>
      <c r="P39" s="1">
        <f t="shared" si="2"/>
        <v>0.47206239003281181</v>
      </c>
    </row>
    <row r="40" spans="1:16" ht="56" x14ac:dyDescent="0.2">
      <c r="A40" s="1" t="str">
        <f t="shared" si="0"/>
        <v>SAN ANDRES DE GILES</v>
      </c>
      <c r="B40" s="2" t="s">
        <v>15</v>
      </c>
      <c r="C40" s="2" t="s">
        <v>46</v>
      </c>
      <c r="D40" s="2" t="s">
        <v>57</v>
      </c>
      <c r="E40" s="2" t="s">
        <v>19</v>
      </c>
      <c r="F40" s="1">
        <v>6889</v>
      </c>
      <c r="G40" s="1">
        <v>4279</v>
      </c>
      <c r="H40" s="1">
        <v>3153</v>
      </c>
      <c r="J40" s="1">
        <v>215</v>
      </c>
      <c r="K40" s="1">
        <v>14536</v>
      </c>
      <c r="L40" s="1">
        <v>16735</v>
      </c>
      <c r="M40" s="1">
        <v>21221</v>
      </c>
      <c r="N40" s="1">
        <f t="shared" si="1"/>
        <v>0.47392680242157403</v>
      </c>
      <c r="P40" s="1">
        <f t="shared" si="2"/>
        <v>0.51128233351678587</v>
      </c>
    </row>
    <row r="41" spans="1:16" ht="56" x14ac:dyDescent="0.2">
      <c r="A41" s="1" t="str">
        <f t="shared" si="0"/>
        <v>SAN ANTONIO DE ARECO</v>
      </c>
      <c r="B41" s="2" t="s">
        <v>15</v>
      </c>
      <c r="C41" s="2" t="s">
        <v>46</v>
      </c>
      <c r="D41" s="2" t="s">
        <v>58</v>
      </c>
      <c r="E41" s="2" t="s">
        <v>19</v>
      </c>
      <c r="F41" s="1">
        <v>5896</v>
      </c>
      <c r="G41" s="1">
        <v>7551</v>
      </c>
      <c r="H41" s="1">
        <v>2111</v>
      </c>
      <c r="I41" s="1">
        <v>421</v>
      </c>
      <c r="K41" s="1">
        <v>15979</v>
      </c>
      <c r="L41" s="1">
        <v>17426</v>
      </c>
      <c r="M41" s="1">
        <v>21424</v>
      </c>
      <c r="N41" s="1">
        <f t="shared" si="1"/>
        <v>0.36898429188309656</v>
      </c>
      <c r="P41" s="1">
        <f t="shared" si="2"/>
        <v>0.60466862757369044</v>
      </c>
    </row>
    <row r="42" spans="1:16" ht="56" x14ac:dyDescent="0.2">
      <c r="A42" s="1" t="str">
        <f t="shared" si="0"/>
        <v>SAN NICOLAS</v>
      </c>
      <c r="B42" s="2" t="s">
        <v>15</v>
      </c>
      <c r="C42" s="2" t="s">
        <v>46</v>
      </c>
      <c r="D42" s="2" t="s">
        <v>59</v>
      </c>
      <c r="E42" s="2" t="s">
        <v>19</v>
      </c>
      <c r="F42" s="1">
        <v>26963</v>
      </c>
      <c r="G42" s="1">
        <v>37914</v>
      </c>
      <c r="H42" s="1">
        <v>18308</v>
      </c>
      <c r="I42" s="1">
        <v>2582</v>
      </c>
      <c r="J42" s="1">
        <v>4041</v>
      </c>
      <c r="K42" s="1">
        <v>89808</v>
      </c>
      <c r="L42" s="1">
        <v>102241</v>
      </c>
      <c r="M42" s="1">
        <v>129583</v>
      </c>
      <c r="N42" s="1">
        <f t="shared" si="1"/>
        <v>0.300229378229111</v>
      </c>
      <c r="P42" s="1">
        <f t="shared" si="2"/>
        <v>0.62602440762515588</v>
      </c>
    </row>
    <row r="43" spans="1:16" ht="56" x14ac:dyDescent="0.2">
      <c r="A43" s="1" t="str">
        <f t="shared" si="0"/>
        <v>SAN PEDRO</v>
      </c>
      <c r="B43" s="2" t="s">
        <v>15</v>
      </c>
      <c r="C43" s="2" t="s">
        <v>46</v>
      </c>
      <c r="D43" s="2" t="s">
        <v>60</v>
      </c>
      <c r="E43" s="2" t="s">
        <v>19</v>
      </c>
      <c r="F43" s="1">
        <v>14860</v>
      </c>
      <c r="G43" s="1">
        <v>12226</v>
      </c>
      <c r="H43" s="1">
        <v>10032</v>
      </c>
      <c r="I43" s="1">
        <v>581</v>
      </c>
      <c r="J43" s="1">
        <v>2279</v>
      </c>
      <c r="K43" s="1">
        <v>39978</v>
      </c>
      <c r="L43" s="1">
        <v>44064</v>
      </c>
      <c r="M43" s="1">
        <v>54880</v>
      </c>
      <c r="N43" s="1">
        <f t="shared" si="1"/>
        <v>0.37170443744059234</v>
      </c>
      <c r="P43" s="1">
        <f t="shared" si="2"/>
        <v>0.55675621591875535</v>
      </c>
    </row>
    <row r="44" spans="1:16" ht="56" x14ac:dyDescent="0.2">
      <c r="A44" s="1" t="str">
        <f t="shared" si="0"/>
        <v>ZARATE</v>
      </c>
      <c r="B44" s="2" t="s">
        <v>15</v>
      </c>
      <c r="C44" s="2" t="s">
        <v>46</v>
      </c>
      <c r="D44" s="2" t="s">
        <v>61</v>
      </c>
      <c r="E44" s="2" t="s">
        <v>19</v>
      </c>
      <c r="F44" s="1">
        <v>29443</v>
      </c>
      <c r="G44" s="1">
        <v>31400</v>
      </c>
      <c r="H44" s="1">
        <v>11803</v>
      </c>
      <c r="I44" s="1">
        <v>1492</v>
      </c>
      <c r="K44" s="1">
        <v>74128</v>
      </c>
      <c r="L44" s="1">
        <v>82148</v>
      </c>
      <c r="M44" s="1">
        <v>103405</v>
      </c>
      <c r="N44" s="1">
        <f t="shared" si="1"/>
        <v>0.3971913447010576</v>
      </c>
      <c r="P44" s="1">
        <f t="shared" si="2"/>
        <v>0.58281620979926618</v>
      </c>
    </row>
    <row r="45" spans="1:16" ht="42" x14ac:dyDescent="0.2">
      <c r="A45" s="1" t="str">
        <f t="shared" si="0"/>
        <v>SECCION TERCERA</v>
      </c>
      <c r="B45" s="2" t="s">
        <v>15</v>
      </c>
      <c r="C45" s="2" t="s">
        <v>62</v>
      </c>
      <c r="D45" s="2" t="s">
        <v>62</v>
      </c>
      <c r="E45" s="2" t="s">
        <v>18</v>
      </c>
      <c r="F45" s="1">
        <v>1770941</v>
      </c>
      <c r="G45" s="1">
        <v>726652</v>
      </c>
      <c r="H45" s="1">
        <v>782877</v>
      </c>
      <c r="I45" s="1">
        <v>155401</v>
      </c>
      <c r="K45" s="1">
        <v>3435871</v>
      </c>
      <c r="L45" s="1">
        <v>3792381</v>
      </c>
      <c r="M45" s="1">
        <v>4999290</v>
      </c>
      <c r="N45" s="1">
        <f t="shared" si="1"/>
        <v>0.51542709257710784</v>
      </c>
      <c r="P45" s="1">
        <f t="shared" si="2"/>
        <v>0.43934391017590591</v>
      </c>
    </row>
    <row r="46" spans="1:16" ht="56" x14ac:dyDescent="0.2">
      <c r="A46" s="1" t="str">
        <f t="shared" si="0"/>
        <v>ALMIRANTE BROWN</v>
      </c>
      <c r="B46" s="2" t="s">
        <v>15</v>
      </c>
      <c r="C46" s="2" t="s">
        <v>62</v>
      </c>
      <c r="D46" s="2" t="s">
        <v>63</v>
      </c>
      <c r="E46" s="2" t="s">
        <v>19</v>
      </c>
      <c r="F46" s="1">
        <v>181013</v>
      </c>
      <c r="G46" s="1">
        <v>63061</v>
      </c>
      <c r="H46" s="1">
        <v>74488</v>
      </c>
      <c r="I46" s="1">
        <v>15915</v>
      </c>
      <c r="K46" s="1">
        <v>334477</v>
      </c>
      <c r="L46" s="1">
        <v>371528</v>
      </c>
      <c r="M46" s="1">
        <v>484083</v>
      </c>
      <c r="N46" s="1">
        <f t="shared" si="1"/>
        <v>0.54118220385856131</v>
      </c>
      <c r="P46" s="1">
        <f t="shared" si="2"/>
        <v>0.41123604911548478</v>
      </c>
    </row>
    <row r="47" spans="1:16" ht="56" x14ac:dyDescent="0.2">
      <c r="A47" s="1" t="str">
        <f t="shared" si="0"/>
        <v>AVELLANEDA</v>
      </c>
      <c r="B47" s="2" t="s">
        <v>15</v>
      </c>
      <c r="C47" s="2" t="s">
        <v>62</v>
      </c>
      <c r="D47" s="2" t="s">
        <v>64</v>
      </c>
      <c r="E47" s="2" t="s">
        <v>19</v>
      </c>
      <c r="F47" s="1">
        <v>125911</v>
      </c>
      <c r="G47" s="1">
        <v>50321</v>
      </c>
      <c r="H47" s="1">
        <v>38820</v>
      </c>
      <c r="I47" s="1">
        <v>7201</v>
      </c>
      <c r="K47" s="1">
        <v>222253</v>
      </c>
      <c r="L47" s="1">
        <v>240602</v>
      </c>
      <c r="M47" s="1">
        <v>320274</v>
      </c>
      <c r="N47" s="1">
        <f t="shared" si="1"/>
        <v>0.56652103683639821</v>
      </c>
      <c r="P47" s="1">
        <f t="shared" si="2"/>
        <v>0.4010789505653467</v>
      </c>
    </row>
    <row r="48" spans="1:16" ht="56" x14ac:dyDescent="0.2">
      <c r="A48" s="1" t="str">
        <f t="shared" si="0"/>
        <v>BERAZATEGUI</v>
      </c>
      <c r="B48" s="2" t="s">
        <v>15</v>
      </c>
      <c r="C48" s="2" t="s">
        <v>62</v>
      </c>
      <c r="D48" s="2" t="s">
        <v>65</v>
      </c>
      <c r="E48" s="2" t="s">
        <v>19</v>
      </c>
      <c r="F48" s="1">
        <v>114479</v>
      </c>
      <c r="G48" s="1">
        <v>35756</v>
      </c>
      <c r="H48" s="1">
        <v>46845</v>
      </c>
      <c r="I48" s="1">
        <v>8605</v>
      </c>
      <c r="K48" s="1">
        <v>205685</v>
      </c>
      <c r="L48" s="1">
        <v>228935</v>
      </c>
      <c r="M48" s="1">
        <v>287479</v>
      </c>
      <c r="N48" s="1">
        <f t="shared" si="1"/>
        <v>0.55657437343510707</v>
      </c>
      <c r="P48" s="1">
        <f t="shared" si="2"/>
        <v>0.40158980966040303</v>
      </c>
    </row>
    <row r="49" spans="1:16" ht="56" x14ac:dyDescent="0.2">
      <c r="A49" s="1" t="str">
        <f t="shared" si="0"/>
        <v>BERISSO</v>
      </c>
      <c r="B49" s="2" t="s">
        <v>15</v>
      </c>
      <c r="C49" s="2" t="s">
        <v>62</v>
      </c>
      <c r="D49" s="2" t="s">
        <v>66</v>
      </c>
      <c r="E49" s="2" t="s">
        <v>19</v>
      </c>
      <c r="F49" s="1">
        <v>29239</v>
      </c>
      <c r="G49" s="1">
        <v>15728</v>
      </c>
      <c r="H49" s="1">
        <v>119546</v>
      </c>
      <c r="I49" s="1">
        <v>2471</v>
      </c>
      <c r="J49" s="1">
        <v>2896</v>
      </c>
      <c r="K49" s="1">
        <v>62290</v>
      </c>
      <c r="L49" s="1">
        <v>68426</v>
      </c>
      <c r="M49" s="1">
        <v>86887</v>
      </c>
      <c r="N49" s="1">
        <f t="shared" si="1"/>
        <v>0.46940118799165192</v>
      </c>
      <c r="P49" s="1">
        <f t="shared" si="2"/>
        <v>2.1716808476480978</v>
      </c>
    </row>
    <row r="50" spans="1:16" ht="56" x14ac:dyDescent="0.2">
      <c r="A50" s="1" t="str">
        <f t="shared" si="0"/>
        <v>BRANDSEN</v>
      </c>
      <c r="B50" s="2" t="s">
        <v>15</v>
      </c>
      <c r="C50" s="2" t="s">
        <v>62</v>
      </c>
      <c r="D50" s="2" t="s">
        <v>67</v>
      </c>
      <c r="E50" s="2" t="s">
        <v>19</v>
      </c>
      <c r="F50" s="1">
        <v>8228</v>
      </c>
      <c r="G50" s="1">
        <v>7436</v>
      </c>
      <c r="H50" s="1">
        <v>3576</v>
      </c>
      <c r="J50" s="1">
        <v>634</v>
      </c>
      <c r="K50" s="1">
        <v>19874</v>
      </c>
      <c r="L50" s="1">
        <v>21825</v>
      </c>
      <c r="M50" s="1">
        <v>27324</v>
      </c>
      <c r="N50" s="1">
        <f t="shared" si="1"/>
        <v>0.41400825198752139</v>
      </c>
      <c r="P50" s="1">
        <f t="shared" si="2"/>
        <v>0.55409077186273525</v>
      </c>
    </row>
    <row r="51" spans="1:16" ht="56" x14ac:dyDescent="0.2">
      <c r="A51" s="1" t="str">
        <f t="shared" si="0"/>
        <v>CANUELAS</v>
      </c>
      <c r="B51" s="2" t="s">
        <v>15</v>
      </c>
      <c r="C51" s="2" t="s">
        <v>62</v>
      </c>
      <c r="D51" s="2" t="s">
        <v>68</v>
      </c>
      <c r="E51" s="2" t="s">
        <v>19</v>
      </c>
      <c r="F51" s="1">
        <v>18478</v>
      </c>
      <c r="G51" s="1">
        <v>9912</v>
      </c>
      <c r="H51" s="1">
        <v>9467</v>
      </c>
      <c r="I51" s="1">
        <v>1382</v>
      </c>
      <c r="K51" s="1">
        <v>39329</v>
      </c>
      <c r="L51" s="1">
        <v>42961</v>
      </c>
      <c r="M51" s="1">
        <v>54072</v>
      </c>
      <c r="N51" s="1">
        <f t="shared" si="1"/>
        <v>0.46983142210582524</v>
      </c>
      <c r="P51" s="1">
        <f t="shared" si="2"/>
        <v>0.4927407256731674</v>
      </c>
    </row>
    <row r="52" spans="1:16" ht="56" x14ac:dyDescent="0.2">
      <c r="A52" s="1" t="str">
        <f t="shared" si="0"/>
        <v>ENSENADA</v>
      </c>
      <c r="B52" s="2" t="s">
        <v>15</v>
      </c>
      <c r="C52" s="2" t="s">
        <v>62</v>
      </c>
      <c r="D52" s="2" t="s">
        <v>69</v>
      </c>
      <c r="E52" s="2" t="s">
        <v>19</v>
      </c>
      <c r="F52" s="1">
        <v>27417</v>
      </c>
      <c r="G52" s="1">
        <v>7003</v>
      </c>
      <c r="H52" s="1">
        <v>7540</v>
      </c>
      <c r="I52" s="1">
        <v>1601</v>
      </c>
      <c r="K52" s="1">
        <v>43561</v>
      </c>
      <c r="L52" s="1">
        <v>47560</v>
      </c>
      <c r="M52" s="1">
        <v>61075</v>
      </c>
      <c r="N52" s="1">
        <f t="shared" si="1"/>
        <v>0.62939326461743306</v>
      </c>
      <c r="P52" s="1">
        <f t="shared" si="2"/>
        <v>0.33385367645370861</v>
      </c>
    </row>
    <row r="53" spans="1:16" ht="56" x14ac:dyDescent="0.2">
      <c r="A53" s="1" t="str">
        <f t="shared" si="0"/>
        <v>ESTEBAN ECHEVERRIA</v>
      </c>
      <c r="B53" s="2" t="s">
        <v>15</v>
      </c>
      <c r="C53" s="2" t="s">
        <v>62</v>
      </c>
      <c r="D53" s="2" t="s">
        <v>70</v>
      </c>
      <c r="E53" s="2" t="s">
        <v>19</v>
      </c>
      <c r="F53" s="1">
        <v>89465</v>
      </c>
      <c r="G53" s="1">
        <v>40838</v>
      </c>
      <c r="H53" s="1">
        <v>46334</v>
      </c>
      <c r="I53" s="1">
        <v>7974</v>
      </c>
      <c r="K53" s="1">
        <v>184611</v>
      </c>
      <c r="L53" s="1">
        <v>206800</v>
      </c>
      <c r="M53" s="1">
        <v>271305</v>
      </c>
      <c r="N53" s="1">
        <f t="shared" si="1"/>
        <v>0.48461359290616485</v>
      </c>
      <c r="P53" s="1">
        <f t="shared" si="2"/>
        <v>0.47219288124759629</v>
      </c>
    </row>
    <row r="54" spans="1:16" ht="56" x14ac:dyDescent="0.2">
      <c r="A54" s="1" t="str">
        <f t="shared" si="0"/>
        <v>FLORENCIO VARELA</v>
      </c>
      <c r="B54" s="2" t="s">
        <v>15</v>
      </c>
      <c r="C54" s="2" t="s">
        <v>62</v>
      </c>
      <c r="D54" s="2" t="s">
        <v>71</v>
      </c>
      <c r="E54" s="2" t="s">
        <v>19</v>
      </c>
      <c r="F54" s="1">
        <v>134060</v>
      </c>
      <c r="G54" s="1">
        <v>33699</v>
      </c>
      <c r="H54" s="1">
        <v>58282</v>
      </c>
      <c r="I54" s="1">
        <v>10919</v>
      </c>
      <c r="K54" s="1">
        <v>236960</v>
      </c>
      <c r="L54" s="1">
        <v>272694</v>
      </c>
      <c r="M54" s="1">
        <v>362050</v>
      </c>
      <c r="N54" s="1">
        <f t="shared" si="1"/>
        <v>0.56574949358541526</v>
      </c>
      <c r="P54" s="1">
        <f t="shared" si="2"/>
        <v>0.38817099932478055</v>
      </c>
    </row>
    <row r="55" spans="1:16" ht="56" x14ac:dyDescent="0.2">
      <c r="A55" s="1" t="str">
        <f t="shared" si="0"/>
        <v>LA MATANZA</v>
      </c>
      <c r="B55" s="2" t="s">
        <v>15</v>
      </c>
      <c r="C55" s="2" t="s">
        <v>62</v>
      </c>
      <c r="D55" s="2" t="s">
        <v>72</v>
      </c>
      <c r="E55" s="2" t="s">
        <v>19</v>
      </c>
      <c r="F55" s="1">
        <v>418256</v>
      </c>
      <c r="G55" s="1">
        <v>143504</v>
      </c>
      <c r="H55" s="1">
        <v>174430</v>
      </c>
      <c r="I55" s="1">
        <v>43231</v>
      </c>
      <c r="K55" s="1">
        <v>778421</v>
      </c>
      <c r="L55" s="1">
        <v>871048</v>
      </c>
      <c r="M55" s="1">
        <v>1180085</v>
      </c>
      <c r="N55" s="1">
        <f t="shared" si="1"/>
        <v>0.53731335614018638</v>
      </c>
      <c r="P55" s="1">
        <f t="shared" si="2"/>
        <v>0.40843451037420625</v>
      </c>
    </row>
    <row r="56" spans="1:16" ht="56" x14ac:dyDescent="0.2">
      <c r="A56" s="1" t="str">
        <f t="shared" si="0"/>
        <v>LANUS</v>
      </c>
      <c r="B56" s="2" t="s">
        <v>15</v>
      </c>
      <c r="C56" s="2" t="s">
        <v>62</v>
      </c>
      <c r="D56" s="2" t="s">
        <v>73</v>
      </c>
      <c r="E56" s="2" t="s">
        <v>19</v>
      </c>
      <c r="F56" s="1">
        <v>126006</v>
      </c>
      <c r="G56" s="1">
        <v>98206</v>
      </c>
      <c r="H56" s="1">
        <v>46423</v>
      </c>
      <c r="I56" s="1">
        <v>11848</v>
      </c>
      <c r="K56" s="1">
        <v>282483</v>
      </c>
      <c r="L56" s="1">
        <v>304658</v>
      </c>
      <c r="M56" s="1">
        <v>404246</v>
      </c>
      <c r="N56" s="1">
        <f t="shared" si="1"/>
        <v>0.44606578094965005</v>
      </c>
      <c r="P56" s="1">
        <f t="shared" si="2"/>
        <v>0.51199187207725771</v>
      </c>
    </row>
    <row r="57" spans="1:16" ht="56" x14ac:dyDescent="0.2">
      <c r="A57" s="1" t="str">
        <f t="shared" si="0"/>
        <v>LOBOS</v>
      </c>
      <c r="B57" s="2" t="s">
        <v>15</v>
      </c>
      <c r="C57" s="2" t="s">
        <v>62</v>
      </c>
      <c r="D57" s="2" t="s">
        <v>74</v>
      </c>
      <c r="E57" s="2" t="s">
        <v>19</v>
      </c>
      <c r="F57" s="1">
        <v>9102</v>
      </c>
      <c r="G57" s="1">
        <v>10497</v>
      </c>
      <c r="H57" s="1">
        <v>3924</v>
      </c>
      <c r="J57" s="1">
        <v>594</v>
      </c>
      <c r="K57" s="1">
        <v>24117</v>
      </c>
      <c r="L57" s="1">
        <v>27061</v>
      </c>
      <c r="M57" s="1">
        <v>33769</v>
      </c>
      <c r="N57" s="1">
        <f t="shared" si="1"/>
        <v>0.37741012563751708</v>
      </c>
      <c r="P57" s="1">
        <f t="shared" si="2"/>
        <v>0.59795994526682428</v>
      </c>
    </row>
    <row r="58" spans="1:16" ht="56" x14ac:dyDescent="0.2">
      <c r="A58" s="1" t="str">
        <f t="shared" si="0"/>
        <v>LOMAS DE ZAMORA</v>
      </c>
      <c r="B58" s="2" t="s">
        <v>15</v>
      </c>
      <c r="C58" s="2" t="s">
        <v>62</v>
      </c>
      <c r="D58" s="2" t="s">
        <v>75</v>
      </c>
      <c r="E58" s="2" t="s">
        <v>19</v>
      </c>
      <c r="F58" s="1">
        <v>197942</v>
      </c>
      <c r="G58" s="1">
        <v>101313</v>
      </c>
      <c r="H58" s="1">
        <v>80258</v>
      </c>
      <c r="I58" s="1">
        <v>17800</v>
      </c>
      <c r="K58" s="1">
        <v>397313</v>
      </c>
      <c r="L58" s="1">
        <v>435028</v>
      </c>
      <c r="M58" s="1">
        <v>575820</v>
      </c>
      <c r="N58" s="1">
        <f t="shared" si="1"/>
        <v>0.49820166971631935</v>
      </c>
      <c r="P58" s="1">
        <f t="shared" si="2"/>
        <v>0.4569973798994747</v>
      </c>
    </row>
    <row r="59" spans="1:16" ht="56" x14ac:dyDescent="0.2">
      <c r="A59" s="1" t="str">
        <f t="shared" si="0"/>
        <v>MAGDALENA</v>
      </c>
      <c r="B59" s="2" t="s">
        <v>15</v>
      </c>
      <c r="C59" s="2" t="s">
        <v>62</v>
      </c>
      <c r="D59" s="2" t="s">
        <v>76</v>
      </c>
      <c r="E59" s="2" t="s">
        <v>19</v>
      </c>
      <c r="F59" s="1">
        <v>2769</v>
      </c>
      <c r="G59" s="1">
        <v>4903</v>
      </c>
      <c r="H59" s="1">
        <v>1406</v>
      </c>
      <c r="J59" s="1">
        <v>2697</v>
      </c>
      <c r="K59" s="1">
        <v>11775</v>
      </c>
      <c r="L59" s="1">
        <v>12946</v>
      </c>
      <c r="M59" s="1">
        <v>16272</v>
      </c>
      <c r="N59" s="1">
        <f t="shared" si="1"/>
        <v>0.2351592356687898</v>
      </c>
      <c r="P59" s="1">
        <f t="shared" si="2"/>
        <v>0.53579617834394899</v>
      </c>
    </row>
    <row r="60" spans="1:16" ht="56" x14ac:dyDescent="0.2">
      <c r="A60" s="1" t="str">
        <f t="shared" si="0"/>
        <v>QUILMES</v>
      </c>
      <c r="B60" s="2" t="s">
        <v>15</v>
      </c>
      <c r="C60" s="2" t="s">
        <v>62</v>
      </c>
      <c r="D60" s="2" t="s">
        <v>77</v>
      </c>
      <c r="E60" s="2" t="s">
        <v>19</v>
      </c>
      <c r="F60" s="1">
        <v>184225</v>
      </c>
      <c r="G60" s="1">
        <v>103460</v>
      </c>
      <c r="H60" s="1">
        <v>61907</v>
      </c>
      <c r="I60" s="1">
        <v>12245</v>
      </c>
      <c r="K60" s="1">
        <v>361837</v>
      </c>
      <c r="L60" s="1">
        <v>395267</v>
      </c>
      <c r="M60" s="1">
        <v>518743</v>
      </c>
      <c r="N60" s="1">
        <f t="shared" si="1"/>
        <v>0.50913809256654241</v>
      </c>
      <c r="P60" s="1">
        <f t="shared" si="2"/>
        <v>0.45702070269209616</v>
      </c>
    </row>
    <row r="61" spans="1:16" ht="56" x14ac:dyDescent="0.2">
      <c r="A61" s="1" t="str">
        <f t="shared" si="0"/>
        <v>SAN VICENTE</v>
      </c>
      <c r="B61" s="2" t="s">
        <v>15</v>
      </c>
      <c r="C61" s="2" t="s">
        <v>62</v>
      </c>
      <c r="D61" s="2" t="s">
        <v>78</v>
      </c>
      <c r="E61" s="2" t="s">
        <v>19</v>
      </c>
      <c r="F61" s="1">
        <v>32067</v>
      </c>
      <c r="G61" s="1">
        <v>6088</v>
      </c>
      <c r="H61" s="1">
        <v>8605</v>
      </c>
      <c r="I61" s="1">
        <v>977</v>
      </c>
      <c r="K61" s="1">
        <v>47737</v>
      </c>
      <c r="L61" s="1">
        <v>53160</v>
      </c>
      <c r="M61" s="1">
        <v>68937</v>
      </c>
      <c r="N61" s="1">
        <f t="shared" si="1"/>
        <v>0.67174309236022378</v>
      </c>
      <c r="P61" s="1">
        <f t="shared" si="2"/>
        <v>0.30779060267716868</v>
      </c>
    </row>
    <row r="62" spans="1:16" ht="56" x14ac:dyDescent="0.2">
      <c r="A62" s="1" t="str">
        <f t="shared" si="0"/>
        <v>PRESIDENTE PERON</v>
      </c>
      <c r="B62" s="2" t="s">
        <v>15</v>
      </c>
      <c r="C62" s="2" t="s">
        <v>62</v>
      </c>
      <c r="D62" s="2" t="s">
        <v>79</v>
      </c>
      <c r="E62" s="2" t="s">
        <v>19</v>
      </c>
      <c r="F62" s="1">
        <v>26891</v>
      </c>
      <c r="G62" s="1">
        <v>6404</v>
      </c>
      <c r="H62" s="1">
        <v>11478</v>
      </c>
      <c r="I62" s="1">
        <v>1944</v>
      </c>
      <c r="J62" s="1">
        <v>5765</v>
      </c>
      <c r="K62" s="1">
        <v>52482</v>
      </c>
      <c r="L62" s="1">
        <v>59567</v>
      </c>
      <c r="M62" s="1">
        <v>79315</v>
      </c>
      <c r="N62" s="1">
        <f t="shared" si="1"/>
        <v>0.51238519873480426</v>
      </c>
      <c r="P62" s="1">
        <f t="shared" si="2"/>
        <v>0.34072634427041654</v>
      </c>
    </row>
    <row r="63" spans="1:16" ht="56" x14ac:dyDescent="0.2">
      <c r="A63" s="1" t="str">
        <f t="shared" si="0"/>
        <v>PUNTA INDIO</v>
      </c>
      <c r="B63" s="2" t="s">
        <v>15</v>
      </c>
      <c r="C63" s="2" t="s">
        <v>62</v>
      </c>
      <c r="D63" s="2" t="s">
        <v>80</v>
      </c>
      <c r="E63" s="2" t="s">
        <v>19</v>
      </c>
      <c r="F63" s="1">
        <v>3370</v>
      </c>
      <c r="G63" s="1">
        <v>2723</v>
      </c>
      <c r="H63" s="1">
        <v>1320</v>
      </c>
      <c r="K63" s="1">
        <v>7413</v>
      </c>
      <c r="L63" s="1">
        <v>8212</v>
      </c>
      <c r="M63" s="1">
        <v>10563</v>
      </c>
      <c r="N63" s="1">
        <f t="shared" si="1"/>
        <v>0.45460677188722515</v>
      </c>
      <c r="P63" s="1">
        <f t="shared" si="2"/>
        <v>0.54539322811277491</v>
      </c>
    </row>
    <row r="64" spans="1:16" ht="56" x14ac:dyDescent="0.2">
      <c r="A64" s="1" t="str">
        <f t="shared" si="0"/>
        <v>EZEIZA</v>
      </c>
      <c r="B64" s="2" t="s">
        <v>15</v>
      </c>
      <c r="C64" s="2" t="s">
        <v>62</v>
      </c>
      <c r="D64" s="2" t="s">
        <v>81</v>
      </c>
      <c r="E64" s="2" t="s">
        <v>19</v>
      </c>
      <c r="F64" s="1">
        <v>66710</v>
      </c>
      <c r="G64" s="1">
        <v>14358</v>
      </c>
      <c r="H64" s="1">
        <v>25869</v>
      </c>
      <c r="I64" s="1">
        <v>3631</v>
      </c>
      <c r="K64" s="1">
        <v>110568</v>
      </c>
      <c r="L64" s="1">
        <v>124103</v>
      </c>
      <c r="M64" s="1">
        <v>156991</v>
      </c>
      <c r="N64" s="1">
        <f t="shared" si="1"/>
        <v>0.60333912162651038</v>
      </c>
      <c r="P64" s="1">
        <f t="shared" si="2"/>
        <v>0.36382135880182331</v>
      </c>
    </row>
    <row r="65" spans="1:16" ht="42" x14ac:dyDescent="0.2">
      <c r="A65" s="1" t="str">
        <f t="shared" si="0"/>
        <v>SECCION CUARTA</v>
      </c>
      <c r="B65" s="2" t="s">
        <v>15</v>
      </c>
      <c r="C65" s="2" t="s">
        <v>82</v>
      </c>
      <c r="D65" s="2" t="s">
        <v>82</v>
      </c>
      <c r="E65" s="2" t="s">
        <v>21</v>
      </c>
      <c r="F65" s="1">
        <v>136438</v>
      </c>
      <c r="G65" s="1">
        <v>131537</v>
      </c>
      <c r="H65" s="1">
        <v>94324</v>
      </c>
      <c r="K65" s="1">
        <v>362299</v>
      </c>
      <c r="L65" s="1">
        <v>431769</v>
      </c>
      <c r="M65" s="1">
        <v>541541</v>
      </c>
      <c r="N65" s="1">
        <f t="shared" si="1"/>
        <v>0.37658950204113179</v>
      </c>
      <c r="P65" s="1">
        <f t="shared" si="2"/>
        <v>0.62341049795886827</v>
      </c>
    </row>
    <row r="66" spans="1:16" ht="56" x14ac:dyDescent="0.2">
      <c r="A66" s="1" t="str">
        <f t="shared" si="0"/>
        <v>ALBERTI</v>
      </c>
      <c r="B66" s="2" t="s">
        <v>15</v>
      </c>
      <c r="C66" s="2" t="s">
        <v>82</v>
      </c>
      <c r="D66" s="2" t="s">
        <v>83</v>
      </c>
      <c r="E66" s="2" t="s">
        <v>19</v>
      </c>
      <c r="F66" s="1">
        <v>3904</v>
      </c>
      <c r="G66" s="1">
        <v>2873</v>
      </c>
      <c r="K66" s="1">
        <v>6777</v>
      </c>
      <c r="L66" s="1">
        <v>7982</v>
      </c>
      <c r="M66" s="1">
        <v>9801</v>
      </c>
      <c r="N66" s="1">
        <f t="shared" si="1"/>
        <v>0.57606610594658403</v>
      </c>
      <c r="P66" s="1">
        <f t="shared" si="2"/>
        <v>0.42393389405341597</v>
      </c>
    </row>
    <row r="67" spans="1:16" ht="56" x14ac:dyDescent="0.2">
      <c r="A67" s="1" t="str">
        <f t="shared" ref="A67:A130" si="3">D67</f>
        <v>BRAGADO</v>
      </c>
      <c r="B67" s="2" t="s">
        <v>15</v>
      </c>
      <c r="C67" s="2" t="s">
        <v>82</v>
      </c>
      <c r="D67" s="2" t="s">
        <v>84</v>
      </c>
      <c r="E67" s="2" t="s">
        <v>19</v>
      </c>
      <c r="F67" s="1">
        <v>13048</v>
      </c>
      <c r="G67" s="1">
        <v>10087</v>
      </c>
      <c r="H67" s="1">
        <v>4064</v>
      </c>
      <c r="K67" s="1">
        <v>27199</v>
      </c>
      <c r="L67" s="1">
        <v>30227</v>
      </c>
      <c r="M67" s="1">
        <v>37701</v>
      </c>
      <c r="N67" s="1">
        <f t="shared" ref="N67:N130" si="4">F67/K67</f>
        <v>0.47972351924703116</v>
      </c>
      <c r="P67" s="1">
        <f t="shared" ref="P67:P130" si="5">(G67+H67)/K67</f>
        <v>0.52027648075296884</v>
      </c>
    </row>
    <row r="68" spans="1:16" ht="56" x14ac:dyDescent="0.2">
      <c r="A68" s="1" t="str">
        <f t="shared" si="3"/>
        <v>CARLOS CASARES</v>
      </c>
      <c r="B68" s="2" t="s">
        <v>15</v>
      </c>
      <c r="C68" s="2" t="s">
        <v>82</v>
      </c>
      <c r="D68" s="2" t="s">
        <v>85</v>
      </c>
      <c r="E68" s="2" t="s">
        <v>19</v>
      </c>
      <c r="F68" s="1">
        <v>6703</v>
      </c>
      <c r="G68" s="1">
        <v>1929</v>
      </c>
      <c r="H68" s="1">
        <v>2394</v>
      </c>
      <c r="J68" s="1">
        <v>3496</v>
      </c>
      <c r="K68" s="1">
        <v>14552</v>
      </c>
      <c r="L68" s="1">
        <v>15951</v>
      </c>
      <c r="M68" s="1">
        <v>20334</v>
      </c>
      <c r="N68" s="1">
        <f t="shared" si="4"/>
        <v>0.46062396921385379</v>
      </c>
      <c r="P68" s="1">
        <f t="shared" si="5"/>
        <v>0.29707256734469489</v>
      </c>
    </row>
    <row r="69" spans="1:16" ht="56" x14ac:dyDescent="0.2">
      <c r="A69" s="1" t="str">
        <f t="shared" si="3"/>
        <v>CARLOS TEJEDOR</v>
      </c>
      <c r="B69" s="2" t="s">
        <v>15</v>
      </c>
      <c r="C69" s="2" t="s">
        <v>82</v>
      </c>
      <c r="D69" s="2" t="s">
        <v>86</v>
      </c>
      <c r="E69" s="2" t="s">
        <v>19</v>
      </c>
      <c r="F69" s="1">
        <v>4649</v>
      </c>
      <c r="G69" s="1">
        <v>3010</v>
      </c>
      <c r="K69" s="1">
        <v>7659</v>
      </c>
      <c r="L69" s="1">
        <v>8743</v>
      </c>
      <c r="M69" s="1">
        <v>10235</v>
      </c>
      <c r="N69" s="1">
        <f t="shared" si="4"/>
        <v>0.60699830265047661</v>
      </c>
      <c r="P69" s="1">
        <f t="shared" si="5"/>
        <v>0.39300169734952345</v>
      </c>
    </row>
    <row r="70" spans="1:16" ht="56" x14ac:dyDescent="0.2">
      <c r="A70" s="1" t="str">
        <f t="shared" si="3"/>
        <v>CHACABUCO</v>
      </c>
      <c r="B70" s="2" t="s">
        <v>15</v>
      </c>
      <c r="C70" s="2" t="s">
        <v>82</v>
      </c>
      <c r="D70" s="2" t="s">
        <v>87</v>
      </c>
      <c r="E70" s="2" t="s">
        <v>19</v>
      </c>
      <c r="F70" s="1">
        <v>16065</v>
      </c>
      <c r="G70" s="1">
        <v>8863</v>
      </c>
      <c r="H70" s="1">
        <v>8032</v>
      </c>
      <c r="K70" s="1">
        <v>32960</v>
      </c>
      <c r="L70" s="1">
        <v>36144</v>
      </c>
      <c r="M70" s="1">
        <v>44310</v>
      </c>
      <c r="N70" s="1">
        <f t="shared" si="4"/>
        <v>0.4874089805825243</v>
      </c>
      <c r="P70" s="1">
        <f t="shared" si="5"/>
        <v>0.51259101941747576</v>
      </c>
    </row>
    <row r="71" spans="1:16" ht="56" x14ac:dyDescent="0.2">
      <c r="A71" s="1" t="str">
        <f t="shared" si="3"/>
        <v>CHIVILCOY</v>
      </c>
      <c r="B71" s="2" t="s">
        <v>15</v>
      </c>
      <c r="C71" s="2" t="s">
        <v>82</v>
      </c>
      <c r="D71" s="2" t="s">
        <v>88</v>
      </c>
      <c r="E71" s="2" t="s">
        <v>19</v>
      </c>
      <c r="F71" s="1">
        <v>14264</v>
      </c>
      <c r="G71" s="1">
        <v>3590</v>
      </c>
      <c r="H71" s="1">
        <v>3950</v>
      </c>
      <c r="J71" s="1">
        <f>17043+7182</f>
        <v>24225</v>
      </c>
      <c r="K71" s="1">
        <v>46029</v>
      </c>
      <c r="L71" s="1">
        <v>49386</v>
      </c>
      <c r="M71" s="1">
        <v>61691</v>
      </c>
      <c r="N71" s="1">
        <f t="shared" si="4"/>
        <v>0.30989159008451195</v>
      </c>
      <c r="P71" s="1">
        <f t="shared" si="5"/>
        <v>0.1638097721001977</v>
      </c>
    </row>
    <row r="72" spans="1:16" ht="56" x14ac:dyDescent="0.2">
      <c r="A72" s="1" t="str">
        <f t="shared" si="3"/>
        <v>GENERAL ARENALES</v>
      </c>
      <c r="B72" s="2" t="s">
        <v>15</v>
      </c>
      <c r="C72" s="2" t="s">
        <v>82</v>
      </c>
      <c r="D72" s="2" t="s">
        <v>89</v>
      </c>
      <c r="E72" s="2" t="s">
        <v>19</v>
      </c>
      <c r="F72" s="1">
        <v>3859</v>
      </c>
      <c r="G72" s="1">
        <v>5332</v>
      </c>
      <c r="H72" s="1">
        <v>1806</v>
      </c>
      <c r="K72" s="1">
        <v>10997</v>
      </c>
      <c r="L72" s="1">
        <v>12120</v>
      </c>
      <c r="M72" s="1">
        <v>15450</v>
      </c>
      <c r="N72" s="1">
        <f t="shared" si="4"/>
        <v>0.35091388560516507</v>
      </c>
      <c r="P72" s="1">
        <f t="shared" si="5"/>
        <v>0.64908611439483499</v>
      </c>
    </row>
    <row r="73" spans="1:16" ht="56" x14ac:dyDescent="0.2">
      <c r="A73" s="1" t="str">
        <f t="shared" si="3"/>
        <v>GENERAL PINTO</v>
      </c>
      <c r="B73" s="2" t="s">
        <v>15</v>
      </c>
      <c r="C73" s="2" t="s">
        <v>82</v>
      </c>
      <c r="D73" s="2" t="s">
        <v>90</v>
      </c>
      <c r="E73" s="2" t="s">
        <v>19</v>
      </c>
      <c r="F73" s="1">
        <v>3875</v>
      </c>
      <c r="G73" s="1">
        <v>3493</v>
      </c>
      <c r="K73" s="1">
        <v>7368</v>
      </c>
      <c r="L73" s="1">
        <v>8579</v>
      </c>
      <c r="M73" s="1">
        <v>10284</v>
      </c>
      <c r="N73" s="1">
        <f t="shared" si="4"/>
        <v>0.52592290988056456</v>
      </c>
      <c r="P73" s="1">
        <f t="shared" si="5"/>
        <v>0.47407709011943538</v>
      </c>
    </row>
    <row r="74" spans="1:16" ht="56" x14ac:dyDescent="0.2">
      <c r="A74" s="1" t="str">
        <f t="shared" si="3"/>
        <v>GENERAL VIAMONTE</v>
      </c>
      <c r="B74" s="2" t="s">
        <v>15</v>
      </c>
      <c r="C74" s="2" t="s">
        <v>82</v>
      </c>
      <c r="D74" s="2" t="s">
        <v>91</v>
      </c>
      <c r="E74" s="2" t="s">
        <v>19</v>
      </c>
      <c r="F74" s="1">
        <v>4417</v>
      </c>
      <c r="G74" s="1">
        <v>6008</v>
      </c>
      <c r="H74" s="1">
        <v>1546</v>
      </c>
      <c r="K74" s="1">
        <v>11971</v>
      </c>
      <c r="L74" s="1">
        <v>13015</v>
      </c>
      <c r="M74" s="1">
        <v>15936</v>
      </c>
      <c r="N74" s="1">
        <f t="shared" si="4"/>
        <v>0.36897502297218276</v>
      </c>
      <c r="P74" s="1">
        <f t="shared" si="5"/>
        <v>0.63102497702781724</v>
      </c>
    </row>
    <row r="75" spans="1:16" ht="56" x14ac:dyDescent="0.2">
      <c r="A75" s="1" t="str">
        <f t="shared" si="3"/>
        <v>GENERAL VILLEGAS</v>
      </c>
      <c r="B75" s="2" t="s">
        <v>15</v>
      </c>
      <c r="C75" s="2" t="s">
        <v>82</v>
      </c>
      <c r="D75" s="2" t="s">
        <v>92</v>
      </c>
      <c r="E75" s="2" t="s">
        <v>19</v>
      </c>
      <c r="F75" s="1">
        <v>4765</v>
      </c>
      <c r="G75" s="1">
        <v>8115</v>
      </c>
      <c r="H75" s="1">
        <v>4621</v>
      </c>
      <c r="J75" s="1">
        <v>973</v>
      </c>
      <c r="K75" s="1">
        <v>18474</v>
      </c>
      <c r="L75" s="1">
        <v>20008</v>
      </c>
      <c r="M75" s="1">
        <v>25777</v>
      </c>
      <c r="N75" s="1">
        <f t="shared" si="4"/>
        <v>0.257930063873552</v>
      </c>
      <c r="P75" s="1">
        <f t="shared" si="5"/>
        <v>0.68940132077514349</v>
      </c>
    </row>
    <row r="76" spans="1:16" ht="56" x14ac:dyDescent="0.2">
      <c r="A76" s="1" t="str">
        <f t="shared" si="3"/>
        <v>HIPOLITO YRIGOYEN</v>
      </c>
      <c r="B76" s="2" t="s">
        <v>15</v>
      </c>
      <c r="C76" s="2" t="s">
        <v>82</v>
      </c>
      <c r="D76" s="2" t="s">
        <v>93</v>
      </c>
      <c r="E76" s="2" t="s">
        <v>19</v>
      </c>
      <c r="F76" s="1">
        <v>2958</v>
      </c>
      <c r="G76" s="1">
        <v>2459</v>
      </c>
      <c r="K76" s="1">
        <v>5417</v>
      </c>
      <c r="L76" s="1">
        <v>6368</v>
      </c>
      <c r="M76" s="1">
        <v>8329</v>
      </c>
      <c r="N76" s="1">
        <f t="shared" si="4"/>
        <v>0.54605870407974899</v>
      </c>
      <c r="P76" s="1">
        <f t="shared" si="5"/>
        <v>0.45394129592025106</v>
      </c>
    </row>
    <row r="77" spans="1:16" ht="56" x14ac:dyDescent="0.2">
      <c r="A77" s="1" t="str">
        <f t="shared" si="3"/>
        <v>JUNIN</v>
      </c>
      <c r="B77" s="2" t="s">
        <v>15</v>
      </c>
      <c r="C77" s="2" t="s">
        <v>82</v>
      </c>
      <c r="D77" s="2" t="s">
        <v>94</v>
      </c>
      <c r="E77" s="2" t="s">
        <v>19</v>
      </c>
      <c r="F77" s="1">
        <v>22068</v>
      </c>
      <c r="G77" s="1">
        <v>25487</v>
      </c>
      <c r="H77" s="1">
        <v>9917</v>
      </c>
      <c r="K77" s="1">
        <v>57472</v>
      </c>
      <c r="L77" s="1">
        <v>65477</v>
      </c>
      <c r="M77" s="1">
        <v>82981</v>
      </c>
      <c r="N77" s="1">
        <f t="shared" si="4"/>
        <v>0.38397828507795101</v>
      </c>
      <c r="P77" s="1">
        <f t="shared" si="5"/>
        <v>0.61602171492204905</v>
      </c>
    </row>
    <row r="78" spans="1:16" ht="56" x14ac:dyDescent="0.2">
      <c r="A78" s="1" t="str">
        <f t="shared" si="3"/>
        <v>LEANDRO N ALEM</v>
      </c>
      <c r="B78" s="2" t="s">
        <v>15</v>
      </c>
      <c r="C78" s="2" t="s">
        <v>82</v>
      </c>
      <c r="D78" s="2" t="s">
        <v>95</v>
      </c>
      <c r="E78" s="2" t="s">
        <v>19</v>
      </c>
      <c r="F78" s="1">
        <v>5866</v>
      </c>
      <c r="G78" s="1">
        <v>4465</v>
      </c>
      <c r="H78" s="1">
        <v>1042</v>
      </c>
      <c r="K78" s="1">
        <v>11373</v>
      </c>
      <c r="L78" s="1">
        <v>12395</v>
      </c>
      <c r="M78" s="1">
        <v>15208</v>
      </c>
      <c r="N78" s="1">
        <f t="shared" si="4"/>
        <v>0.51578299481227463</v>
      </c>
      <c r="P78" s="1">
        <f t="shared" si="5"/>
        <v>0.48421700518772531</v>
      </c>
    </row>
    <row r="79" spans="1:16" ht="56" x14ac:dyDescent="0.2">
      <c r="A79" s="1" t="str">
        <f t="shared" si="3"/>
        <v>LINCOLN</v>
      </c>
      <c r="B79" s="2" t="s">
        <v>15</v>
      </c>
      <c r="C79" s="2" t="s">
        <v>82</v>
      </c>
      <c r="D79" s="2" t="s">
        <v>96</v>
      </c>
      <c r="E79" s="2" t="s">
        <v>19</v>
      </c>
      <c r="F79" s="1">
        <v>9409</v>
      </c>
      <c r="G79" s="1">
        <v>13304</v>
      </c>
      <c r="H79" s="1">
        <v>4311</v>
      </c>
      <c r="J79" s="1">
        <f>642+76</f>
        <v>718</v>
      </c>
      <c r="K79" s="1">
        <v>27742</v>
      </c>
      <c r="L79" s="1">
        <v>30445</v>
      </c>
      <c r="M79" s="1">
        <v>38656</v>
      </c>
      <c r="N79" s="1">
        <f t="shared" si="4"/>
        <v>0.33916083916083917</v>
      </c>
      <c r="P79" s="1">
        <f t="shared" si="5"/>
        <v>0.63495782567947512</v>
      </c>
    </row>
    <row r="80" spans="1:16" ht="56" x14ac:dyDescent="0.2">
      <c r="A80" s="1" t="str">
        <f t="shared" si="3"/>
        <v>NUEVE DE JULIO</v>
      </c>
      <c r="B80" s="2" t="s">
        <v>15</v>
      </c>
      <c r="C80" s="2" t="s">
        <v>82</v>
      </c>
      <c r="D80" s="2" t="s">
        <v>97</v>
      </c>
      <c r="E80" s="2" t="s">
        <v>19</v>
      </c>
      <c r="F80" s="1">
        <v>7568</v>
      </c>
      <c r="G80" s="1">
        <v>14920</v>
      </c>
      <c r="H80" s="1">
        <v>7711</v>
      </c>
      <c r="K80" s="1">
        <v>30219</v>
      </c>
      <c r="L80" s="1">
        <v>34329</v>
      </c>
      <c r="M80" s="1">
        <v>43657</v>
      </c>
      <c r="N80" s="1">
        <f t="shared" si="4"/>
        <v>0.250438465865846</v>
      </c>
      <c r="P80" s="1">
        <f t="shared" si="5"/>
        <v>0.74889969886495256</v>
      </c>
    </row>
    <row r="81" spans="1:16" ht="56" x14ac:dyDescent="0.2">
      <c r="A81" s="1" t="str">
        <f t="shared" si="3"/>
        <v>PEHUAJO</v>
      </c>
      <c r="B81" s="2" t="s">
        <v>15</v>
      </c>
      <c r="C81" s="2" t="s">
        <v>82</v>
      </c>
      <c r="D81" s="2" t="s">
        <v>98</v>
      </c>
      <c r="E81" s="2" t="s">
        <v>19</v>
      </c>
      <c r="F81" s="1">
        <v>13195</v>
      </c>
      <c r="G81" s="1">
        <v>10871</v>
      </c>
      <c r="H81" s="1">
        <v>2911</v>
      </c>
      <c r="K81" s="1">
        <v>26977</v>
      </c>
      <c r="L81" s="1">
        <v>29556</v>
      </c>
      <c r="M81" s="1">
        <v>36224</v>
      </c>
      <c r="N81" s="1">
        <f t="shared" si="4"/>
        <v>0.48912036178967266</v>
      </c>
      <c r="P81" s="1">
        <f t="shared" si="5"/>
        <v>0.51087963821032734</v>
      </c>
    </row>
    <row r="82" spans="1:16" ht="56" x14ac:dyDescent="0.2">
      <c r="A82" s="1" t="str">
        <f t="shared" si="3"/>
        <v>RIVADAVIA</v>
      </c>
      <c r="B82" s="2" t="s">
        <v>15</v>
      </c>
      <c r="C82" s="2" t="s">
        <v>82</v>
      </c>
      <c r="D82" s="2" t="s">
        <v>99</v>
      </c>
      <c r="E82" s="2" t="s">
        <v>19</v>
      </c>
      <c r="F82" s="1">
        <v>5932</v>
      </c>
      <c r="G82" s="1">
        <v>5530</v>
      </c>
      <c r="K82" s="1">
        <v>11462</v>
      </c>
      <c r="L82" s="1">
        <v>12616</v>
      </c>
      <c r="M82" s="1">
        <v>14842</v>
      </c>
      <c r="N82" s="1">
        <f t="shared" si="4"/>
        <v>0.51753620659570754</v>
      </c>
      <c r="P82" s="1">
        <f t="shared" si="5"/>
        <v>0.48246379340429246</v>
      </c>
    </row>
    <row r="83" spans="1:16" ht="56" x14ac:dyDescent="0.2">
      <c r="A83" s="1" t="str">
        <f t="shared" si="3"/>
        <v>TRENQUE LAUQUEN</v>
      </c>
      <c r="B83" s="2" t="s">
        <v>15</v>
      </c>
      <c r="C83" s="2" t="s">
        <v>82</v>
      </c>
      <c r="D83" s="2" t="s">
        <v>100</v>
      </c>
      <c r="E83" s="2" t="s">
        <v>19</v>
      </c>
      <c r="F83" s="1">
        <v>7526</v>
      </c>
      <c r="G83" s="1">
        <v>13904</v>
      </c>
      <c r="H83" s="1">
        <v>6074</v>
      </c>
      <c r="K83" s="1">
        <v>27504</v>
      </c>
      <c r="L83" s="1">
        <v>31611</v>
      </c>
      <c r="M83" s="1">
        <v>41915</v>
      </c>
      <c r="N83" s="1">
        <f t="shared" si="4"/>
        <v>0.27363292611983714</v>
      </c>
      <c r="P83" s="1">
        <f t="shared" si="5"/>
        <v>0.72636707388016286</v>
      </c>
    </row>
    <row r="84" spans="1:16" ht="56" x14ac:dyDescent="0.2">
      <c r="A84" s="1" t="str">
        <f t="shared" si="3"/>
        <v>FLORENTINO AMEGHINO</v>
      </c>
      <c r="B84" s="2" t="s">
        <v>15</v>
      </c>
      <c r="C84" s="2" t="s">
        <v>82</v>
      </c>
      <c r="D84" s="2" t="s">
        <v>101</v>
      </c>
      <c r="E84" s="2" t="s">
        <v>19</v>
      </c>
      <c r="F84" s="1">
        <v>2664</v>
      </c>
      <c r="G84" s="1">
        <v>3350</v>
      </c>
      <c r="K84" s="1">
        <v>6014</v>
      </c>
      <c r="L84" s="1">
        <v>6802</v>
      </c>
      <c r="M84" s="1">
        <v>8210</v>
      </c>
      <c r="N84" s="1">
        <f t="shared" si="4"/>
        <v>0.4429664117060193</v>
      </c>
      <c r="P84" s="1">
        <f t="shared" si="5"/>
        <v>0.55703358829398075</v>
      </c>
    </row>
    <row r="85" spans="1:16" ht="42" x14ac:dyDescent="0.2">
      <c r="A85" s="1" t="str">
        <f t="shared" si="3"/>
        <v>SECCION QUINTA</v>
      </c>
      <c r="B85" s="2" t="s">
        <v>15</v>
      </c>
      <c r="C85" s="2" t="s">
        <v>102</v>
      </c>
      <c r="D85" s="2" t="s">
        <v>102</v>
      </c>
      <c r="E85" s="2" t="s">
        <v>21</v>
      </c>
      <c r="F85" s="1">
        <v>302902</v>
      </c>
      <c r="G85" s="1">
        <v>297164</v>
      </c>
      <c r="H85" s="1">
        <v>227500</v>
      </c>
      <c r="I85" s="1">
        <v>28175</v>
      </c>
      <c r="K85" s="1">
        <v>855741</v>
      </c>
      <c r="L85" s="1">
        <v>978310</v>
      </c>
      <c r="M85" s="1">
        <v>1310478</v>
      </c>
      <c r="N85" s="1">
        <f t="shared" si="4"/>
        <v>0.35396457573027351</v>
      </c>
      <c r="P85" s="1">
        <f t="shared" si="5"/>
        <v>0.61311074261955423</v>
      </c>
    </row>
    <row r="86" spans="1:16" ht="56" x14ac:dyDescent="0.2">
      <c r="A86" s="1" t="str">
        <f t="shared" si="3"/>
        <v>AYACUCHO</v>
      </c>
      <c r="B86" s="2" t="s">
        <v>15</v>
      </c>
      <c r="C86" s="2" t="s">
        <v>102</v>
      </c>
      <c r="D86" s="2" t="s">
        <v>103</v>
      </c>
      <c r="E86" s="2" t="s">
        <v>19</v>
      </c>
      <c r="F86" s="1">
        <v>3554</v>
      </c>
      <c r="G86" s="1">
        <v>7488</v>
      </c>
      <c r="K86" s="1">
        <v>11042</v>
      </c>
      <c r="L86" s="1">
        <v>14268</v>
      </c>
      <c r="M86" s="1">
        <v>18496</v>
      </c>
      <c r="N86" s="1">
        <f t="shared" si="4"/>
        <v>0.32186198152508605</v>
      </c>
      <c r="P86" s="1">
        <f t="shared" si="5"/>
        <v>0.67813801847491395</v>
      </c>
    </row>
    <row r="87" spans="1:16" ht="56" x14ac:dyDescent="0.2">
      <c r="A87" s="1" t="str">
        <f t="shared" si="3"/>
        <v>BALCARCE</v>
      </c>
      <c r="B87" s="2" t="s">
        <v>15</v>
      </c>
      <c r="C87" s="2" t="s">
        <v>102</v>
      </c>
      <c r="D87" s="2" t="s">
        <v>104</v>
      </c>
      <c r="E87" s="2" t="s">
        <v>19</v>
      </c>
      <c r="F87" s="1">
        <v>6222</v>
      </c>
      <c r="G87" s="1">
        <v>15961</v>
      </c>
      <c r="H87" s="1">
        <v>6141</v>
      </c>
      <c r="K87" s="1">
        <v>28324</v>
      </c>
      <c r="L87" s="1">
        <v>32444</v>
      </c>
      <c r="M87" s="1">
        <v>41784</v>
      </c>
      <c r="N87" s="1">
        <f t="shared" si="4"/>
        <v>0.21967236266064116</v>
      </c>
      <c r="P87" s="1">
        <f t="shared" si="5"/>
        <v>0.78032763733935884</v>
      </c>
    </row>
    <row r="88" spans="1:16" ht="56" x14ac:dyDescent="0.2">
      <c r="A88" s="1" t="str">
        <f t="shared" si="3"/>
        <v>CASTELLI</v>
      </c>
      <c r="B88" s="2" t="s">
        <v>15</v>
      </c>
      <c r="C88" s="2" t="s">
        <v>102</v>
      </c>
      <c r="D88" s="2" t="s">
        <v>105</v>
      </c>
      <c r="E88" s="2" t="s">
        <v>19</v>
      </c>
      <c r="F88" s="1">
        <v>3648</v>
      </c>
      <c r="G88" s="1">
        <v>1923</v>
      </c>
      <c r="H88" s="1">
        <v>614</v>
      </c>
      <c r="K88" s="1">
        <v>6185</v>
      </c>
      <c r="L88" s="1">
        <v>6552</v>
      </c>
      <c r="M88" s="1">
        <v>8089</v>
      </c>
      <c r="N88" s="1">
        <f t="shared" si="4"/>
        <v>0.58981406628940991</v>
      </c>
      <c r="P88" s="1">
        <f t="shared" si="5"/>
        <v>0.41018593371059014</v>
      </c>
    </row>
    <row r="89" spans="1:16" ht="56" x14ac:dyDescent="0.2">
      <c r="A89" s="1" t="str">
        <f t="shared" si="3"/>
        <v>CHASCOMUS</v>
      </c>
      <c r="B89" s="2" t="s">
        <v>15</v>
      </c>
      <c r="C89" s="2" t="s">
        <v>102</v>
      </c>
      <c r="D89" s="2" t="s">
        <v>106</v>
      </c>
      <c r="E89" s="2" t="s">
        <v>19</v>
      </c>
      <c r="F89" s="1">
        <v>11984</v>
      </c>
      <c r="G89" s="1">
        <v>10705</v>
      </c>
      <c r="H89" s="1">
        <v>2875</v>
      </c>
      <c r="K89" s="1">
        <v>25564</v>
      </c>
      <c r="L89" s="1">
        <v>28132</v>
      </c>
      <c r="M89" s="1">
        <v>35848</v>
      </c>
      <c r="N89" s="1">
        <f t="shared" si="4"/>
        <v>0.46878422782037238</v>
      </c>
      <c r="P89" s="1">
        <f t="shared" si="5"/>
        <v>0.53121577217962757</v>
      </c>
    </row>
    <row r="90" spans="1:16" ht="56" x14ac:dyDescent="0.2">
      <c r="A90" s="1" t="str">
        <f t="shared" si="3"/>
        <v>DOLORES</v>
      </c>
      <c r="B90" s="2" t="s">
        <v>15</v>
      </c>
      <c r="C90" s="2" t="s">
        <v>102</v>
      </c>
      <c r="D90" s="2" t="s">
        <v>107</v>
      </c>
      <c r="E90" s="2" t="s">
        <v>19</v>
      </c>
      <c r="F90" s="1">
        <v>9149</v>
      </c>
      <c r="G90" s="1">
        <v>8925</v>
      </c>
      <c r="H90" s="1">
        <v>2143</v>
      </c>
      <c r="K90" s="1">
        <v>20217</v>
      </c>
      <c r="L90" s="1">
        <v>21392</v>
      </c>
      <c r="M90" s="1">
        <v>25792</v>
      </c>
      <c r="N90" s="1">
        <f t="shared" si="4"/>
        <v>0.45253994163327893</v>
      </c>
      <c r="P90" s="1">
        <f t="shared" si="5"/>
        <v>0.54746005836672107</v>
      </c>
    </row>
    <row r="91" spans="1:16" ht="56" x14ac:dyDescent="0.2">
      <c r="A91" s="1" t="str">
        <f t="shared" si="3"/>
        <v>GENERAL ALVARADO</v>
      </c>
      <c r="B91" s="2" t="s">
        <v>15</v>
      </c>
      <c r="C91" s="2" t="s">
        <v>102</v>
      </c>
      <c r="D91" s="2" t="s">
        <v>108</v>
      </c>
      <c r="E91" s="2" t="s">
        <v>19</v>
      </c>
      <c r="F91" s="1">
        <v>12385</v>
      </c>
      <c r="G91" s="1">
        <v>10791</v>
      </c>
      <c r="H91" s="1">
        <v>4357</v>
      </c>
      <c r="K91" s="1">
        <v>27533</v>
      </c>
      <c r="L91" s="1">
        <v>30395</v>
      </c>
      <c r="M91" s="1">
        <v>39449</v>
      </c>
      <c r="N91" s="1">
        <f t="shared" si="4"/>
        <v>0.44982384774634077</v>
      </c>
      <c r="P91" s="1">
        <f t="shared" si="5"/>
        <v>0.55017615225365923</v>
      </c>
    </row>
    <row r="92" spans="1:16" ht="56" x14ac:dyDescent="0.2">
      <c r="A92" s="1" t="str">
        <f t="shared" si="3"/>
        <v>GENERAL BELGRANO</v>
      </c>
      <c r="B92" s="2" t="s">
        <v>15</v>
      </c>
      <c r="C92" s="2" t="s">
        <v>102</v>
      </c>
      <c r="D92" s="2" t="s">
        <v>109</v>
      </c>
      <c r="E92" s="2" t="s">
        <v>19</v>
      </c>
      <c r="F92" s="1">
        <v>4495</v>
      </c>
      <c r="G92" s="1">
        <v>6154</v>
      </c>
      <c r="H92" s="1">
        <v>1600</v>
      </c>
      <c r="K92" s="1">
        <v>12249</v>
      </c>
      <c r="L92" s="1">
        <v>13614</v>
      </c>
      <c r="M92" s="1">
        <v>17065</v>
      </c>
      <c r="N92" s="1">
        <f t="shared" si="4"/>
        <v>0.3669687321413993</v>
      </c>
      <c r="P92" s="1">
        <f t="shared" si="5"/>
        <v>0.63303126785860075</v>
      </c>
    </row>
    <row r="93" spans="1:16" ht="56" x14ac:dyDescent="0.2">
      <c r="A93" s="1" t="str">
        <f t="shared" si="3"/>
        <v>GENERAL GUIDO</v>
      </c>
      <c r="B93" s="2" t="s">
        <v>15</v>
      </c>
      <c r="C93" s="2" t="s">
        <v>102</v>
      </c>
      <c r="D93" s="2" t="s">
        <v>110</v>
      </c>
      <c r="E93" s="2" t="s">
        <v>19</v>
      </c>
      <c r="F93" s="1">
        <v>1236</v>
      </c>
      <c r="G93" s="1">
        <v>885</v>
      </c>
      <c r="H93" s="1">
        <v>104</v>
      </c>
      <c r="K93" s="1">
        <v>2225</v>
      </c>
      <c r="L93" s="1">
        <v>2395</v>
      </c>
      <c r="M93" s="1">
        <v>2944</v>
      </c>
      <c r="N93" s="1">
        <f t="shared" si="4"/>
        <v>0.55550561797752807</v>
      </c>
      <c r="P93" s="1">
        <f t="shared" si="5"/>
        <v>0.44449438202247193</v>
      </c>
    </row>
    <row r="94" spans="1:16" ht="56" x14ac:dyDescent="0.2">
      <c r="A94" s="1" t="str">
        <f t="shared" si="3"/>
        <v>GENERAL LAVALLE</v>
      </c>
      <c r="B94" s="2" t="s">
        <v>15</v>
      </c>
      <c r="C94" s="2" t="s">
        <v>102</v>
      </c>
      <c r="D94" s="2" t="s">
        <v>111</v>
      </c>
      <c r="E94" s="2" t="s">
        <v>19</v>
      </c>
      <c r="F94" s="1">
        <v>1786</v>
      </c>
      <c r="G94" s="1">
        <v>1857</v>
      </c>
      <c r="H94" s="1">
        <v>353</v>
      </c>
      <c r="K94" s="1">
        <v>3996</v>
      </c>
      <c r="L94" s="1">
        <v>4251</v>
      </c>
      <c r="M94" s="1">
        <v>5443</v>
      </c>
      <c r="N94" s="1">
        <f t="shared" si="4"/>
        <v>0.44694694694694692</v>
      </c>
      <c r="P94" s="1">
        <f t="shared" si="5"/>
        <v>0.55305305305305308</v>
      </c>
    </row>
    <row r="95" spans="1:16" ht="56" x14ac:dyDescent="0.2">
      <c r="A95" s="1" t="str">
        <f t="shared" si="3"/>
        <v>GENERAL MADARIAGA</v>
      </c>
      <c r="B95" s="2" t="s">
        <v>15</v>
      </c>
      <c r="C95" s="2" t="s">
        <v>102</v>
      </c>
      <c r="D95" s="2" t="s">
        <v>112</v>
      </c>
      <c r="E95" s="2" t="s">
        <v>19</v>
      </c>
      <c r="F95" s="1">
        <v>3336</v>
      </c>
      <c r="G95" s="1">
        <v>8047</v>
      </c>
      <c r="H95" s="1">
        <v>597</v>
      </c>
      <c r="K95" s="1">
        <v>11980</v>
      </c>
      <c r="L95" s="1">
        <v>14744</v>
      </c>
      <c r="M95" s="1">
        <v>19898</v>
      </c>
      <c r="N95" s="1">
        <f t="shared" si="4"/>
        <v>0.27846410684474121</v>
      </c>
      <c r="P95" s="1">
        <f t="shared" si="5"/>
        <v>0.72153589315525879</v>
      </c>
    </row>
    <row r="96" spans="1:16" ht="56" x14ac:dyDescent="0.2">
      <c r="A96" s="1" t="str">
        <f t="shared" si="3"/>
        <v>GENERAL PAZ</v>
      </c>
      <c r="B96" s="2" t="s">
        <v>15</v>
      </c>
      <c r="C96" s="2" t="s">
        <v>102</v>
      </c>
      <c r="D96" s="2" t="s">
        <v>113</v>
      </c>
      <c r="E96" s="2" t="s">
        <v>19</v>
      </c>
      <c r="F96" s="1">
        <v>4756</v>
      </c>
      <c r="G96" s="1">
        <v>2798</v>
      </c>
      <c r="H96" s="1">
        <v>1599</v>
      </c>
      <c r="K96" s="1">
        <v>9153</v>
      </c>
      <c r="L96" s="1">
        <v>9865</v>
      </c>
      <c r="M96" s="1">
        <v>11885</v>
      </c>
      <c r="N96" s="1">
        <f t="shared" si="4"/>
        <v>0.5196110564842128</v>
      </c>
      <c r="P96" s="1">
        <f t="shared" si="5"/>
        <v>0.48038894351578715</v>
      </c>
    </row>
    <row r="97" spans="1:16" ht="56" x14ac:dyDescent="0.2">
      <c r="A97" s="1" t="str">
        <f t="shared" si="3"/>
        <v>GENERAL PUEYRREDON</v>
      </c>
      <c r="B97" s="2" t="s">
        <v>15</v>
      </c>
      <c r="C97" s="2" t="s">
        <v>102</v>
      </c>
      <c r="D97" s="2" t="s">
        <v>114</v>
      </c>
      <c r="E97" s="2" t="s">
        <v>19</v>
      </c>
      <c r="G97" s="1">
        <v>161375</v>
      </c>
      <c r="H97" s="1">
        <v>75696</v>
      </c>
      <c r="I97" s="1">
        <v>12797</v>
      </c>
      <c r="J97" s="1">
        <v>141788</v>
      </c>
      <c r="K97" s="1">
        <v>391656</v>
      </c>
      <c r="L97" s="1">
        <v>431316</v>
      </c>
      <c r="M97" s="1">
        <v>589157</v>
      </c>
      <c r="N97" s="1">
        <f t="shared" si="4"/>
        <v>0</v>
      </c>
      <c r="P97" s="1">
        <f t="shared" si="5"/>
        <v>0.60530414445329572</v>
      </c>
    </row>
    <row r="98" spans="1:16" ht="56" x14ac:dyDescent="0.2">
      <c r="A98" s="1" t="str">
        <f t="shared" si="3"/>
        <v>LAS FLORES</v>
      </c>
      <c r="B98" s="2" t="s">
        <v>15</v>
      </c>
      <c r="C98" s="2" t="s">
        <v>102</v>
      </c>
      <c r="D98" s="2" t="s">
        <v>115</v>
      </c>
      <c r="E98" s="2" t="s">
        <v>19</v>
      </c>
      <c r="F98" s="1">
        <v>8047</v>
      </c>
      <c r="G98" s="1">
        <v>4866</v>
      </c>
      <c r="H98" s="1">
        <v>3143</v>
      </c>
      <c r="K98" s="1">
        <v>16056</v>
      </c>
      <c r="L98" s="1">
        <v>17869</v>
      </c>
      <c r="M98" s="1">
        <v>22607</v>
      </c>
      <c r="N98" s="1">
        <f t="shared" si="4"/>
        <v>0.50118335824613847</v>
      </c>
      <c r="P98" s="1">
        <f t="shared" si="5"/>
        <v>0.49881664175386148</v>
      </c>
    </row>
    <row r="99" spans="1:16" ht="56" x14ac:dyDescent="0.2">
      <c r="A99" s="1" t="str">
        <f t="shared" si="3"/>
        <v>LOBERIA</v>
      </c>
      <c r="B99" s="2" t="s">
        <v>15</v>
      </c>
      <c r="C99" s="2" t="s">
        <v>102</v>
      </c>
      <c r="D99" s="2" t="s">
        <v>116</v>
      </c>
      <c r="E99" s="2" t="s">
        <v>19</v>
      </c>
      <c r="F99" s="1">
        <v>3695</v>
      </c>
      <c r="G99" s="1">
        <v>5382</v>
      </c>
      <c r="K99" s="1">
        <v>9077</v>
      </c>
      <c r="L99" s="1">
        <v>11563</v>
      </c>
      <c r="M99" s="1">
        <v>14974</v>
      </c>
      <c r="N99" s="1">
        <f t="shared" si="4"/>
        <v>0.40707282141676765</v>
      </c>
      <c r="P99" s="1">
        <f t="shared" si="5"/>
        <v>0.59292717858323229</v>
      </c>
    </row>
    <row r="100" spans="1:16" ht="56" x14ac:dyDescent="0.2">
      <c r="A100" s="1" t="str">
        <f t="shared" si="3"/>
        <v>MAIPU</v>
      </c>
      <c r="B100" s="2" t="s">
        <v>15</v>
      </c>
      <c r="C100" s="2" t="s">
        <v>102</v>
      </c>
      <c r="D100" s="2" t="s">
        <v>117</v>
      </c>
      <c r="E100" s="2" t="s">
        <v>19</v>
      </c>
      <c r="F100" s="1">
        <v>2830</v>
      </c>
      <c r="G100" s="1">
        <v>3854</v>
      </c>
      <c r="H100" s="1">
        <v>1446</v>
      </c>
      <c r="K100" s="1">
        <v>8130</v>
      </c>
      <c r="L100" s="1">
        <v>8580</v>
      </c>
      <c r="M100" s="1">
        <v>10310</v>
      </c>
      <c r="N100" s="1">
        <f t="shared" si="4"/>
        <v>0.34809348093480935</v>
      </c>
      <c r="P100" s="1">
        <f t="shared" si="5"/>
        <v>0.6519065190651907</v>
      </c>
    </row>
    <row r="101" spans="1:16" ht="56" x14ac:dyDescent="0.2">
      <c r="A101" s="1" t="str">
        <f t="shared" si="3"/>
        <v>MAR CHIQUITA</v>
      </c>
      <c r="B101" s="2" t="s">
        <v>15</v>
      </c>
      <c r="C101" s="2" t="s">
        <v>102</v>
      </c>
      <c r="D101" s="2" t="s">
        <v>118</v>
      </c>
      <c r="E101" s="2" t="s">
        <v>19</v>
      </c>
      <c r="F101" s="1">
        <v>10775</v>
      </c>
      <c r="G101" s="1">
        <v>5778</v>
      </c>
      <c r="H101" s="1">
        <v>4863</v>
      </c>
      <c r="K101" s="1">
        <v>21416</v>
      </c>
      <c r="L101" s="1">
        <v>24048</v>
      </c>
      <c r="M101" s="1">
        <v>32491</v>
      </c>
      <c r="N101" s="1">
        <f t="shared" si="4"/>
        <v>0.50312850205453863</v>
      </c>
      <c r="P101" s="1">
        <f t="shared" si="5"/>
        <v>0.49687149794546132</v>
      </c>
    </row>
    <row r="102" spans="1:16" ht="56" x14ac:dyDescent="0.2">
      <c r="A102" s="1" t="str">
        <f t="shared" si="3"/>
        <v>MONTE</v>
      </c>
      <c r="B102" s="2" t="s">
        <v>15</v>
      </c>
      <c r="C102" s="2" t="s">
        <v>102</v>
      </c>
      <c r="D102" s="2" t="s">
        <v>119</v>
      </c>
      <c r="E102" s="2" t="s">
        <v>19</v>
      </c>
      <c r="F102" s="1">
        <v>4374</v>
      </c>
      <c r="G102" s="1">
        <v>7454</v>
      </c>
      <c r="H102" s="1">
        <v>2306</v>
      </c>
      <c r="K102" s="1">
        <v>14134</v>
      </c>
      <c r="L102" s="1">
        <v>15874</v>
      </c>
      <c r="M102" s="1">
        <v>20967</v>
      </c>
      <c r="N102" s="1">
        <f t="shared" si="4"/>
        <v>0.30946653459742463</v>
      </c>
      <c r="P102" s="1">
        <f t="shared" si="5"/>
        <v>0.69053346540257532</v>
      </c>
    </row>
    <row r="103" spans="1:16" ht="56" x14ac:dyDescent="0.2">
      <c r="A103" s="1" t="str">
        <f t="shared" si="3"/>
        <v>NECOCHEA</v>
      </c>
      <c r="B103" s="2" t="s">
        <v>15</v>
      </c>
      <c r="C103" s="2" t="s">
        <v>102</v>
      </c>
      <c r="D103" s="2" t="s">
        <v>120</v>
      </c>
      <c r="E103" s="2" t="s">
        <v>19</v>
      </c>
      <c r="F103" s="1">
        <v>7724</v>
      </c>
      <c r="G103" s="1">
        <v>7258</v>
      </c>
      <c r="H103" s="1">
        <v>8681</v>
      </c>
      <c r="J103" s="1">
        <f>29145+5766</f>
        <v>34911</v>
      </c>
      <c r="K103" s="1">
        <v>58574</v>
      </c>
      <c r="L103" s="1">
        <v>64753</v>
      </c>
      <c r="M103" s="1">
        <v>88264</v>
      </c>
      <c r="N103" s="1">
        <f t="shared" si="4"/>
        <v>0.13186738143203469</v>
      </c>
      <c r="P103" s="1">
        <f t="shared" si="5"/>
        <v>0.27211732167856045</v>
      </c>
    </row>
    <row r="104" spans="1:16" ht="56" x14ac:dyDescent="0.2">
      <c r="A104" s="1" t="str">
        <f t="shared" si="3"/>
        <v>PILA</v>
      </c>
      <c r="B104" s="2" t="s">
        <v>15</v>
      </c>
      <c r="C104" s="2" t="s">
        <v>102</v>
      </c>
      <c r="D104" s="2" t="s">
        <v>121</v>
      </c>
      <c r="E104" s="2" t="s">
        <v>19</v>
      </c>
      <c r="F104" s="1">
        <v>1661</v>
      </c>
      <c r="G104" s="1">
        <v>795</v>
      </c>
      <c r="K104" s="1">
        <v>2456</v>
      </c>
      <c r="L104" s="1">
        <v>2948</v>
      </c>
      <c r="M104" s="1">
        <v>3659</v>
      </c>
      <c r="N104" s="1">
        <f t="shared" si="4"/>
        <v>0.67630293159609123</v>
      </c>
      <c r="P104" s="1">
        <f t="shared" si="5"/>
        <v>0.32369706840390877</v>
      </c>
    </row>
    <row r="105" spans="1:16" ht="56" x14ac:dyDescent="0.2">
      <c r="A105" s="1" t="str">
        <f t="shared" si="3"/>
        <v>PARTIDO DE PINAMAR</v>
      </c>
      <c r="B105" s="2" t="s">
        <v>15</v>
      </c>
      <c r="C105" s="2" t="s">
        <v>102</v>
      </c>
      <c r="D105" s="2" t="s">
        <v>122</v>
      </c>
      <c r="E105" s="2" t="s">
        <v>19</v>
      </c>
      <c r="F105" s="1">
        <v>8114</v>
      </c>
      <c r="G105" s="1">
        <v>8115</v>
      </c>
      <c r="H105" s="1">
        <v>5572</v>
      </c>
      <c r="K105" s="1">
        <v>21801</v>
      </c>
      <c r="L105" s="1">
        <v>24133</v>
      </c>
      <c r="M105" s="1">
        <v>35202</v>
      </c>
      <c r="N105" s="1">
        <f t="shared" si="4"/>
        <v>0.37218476216687307</v>
      </c>
      <c r="P105" s="1">
        <f t="shared" si="5"/>
        <v>0.62781523783312687</v>
      </c>
    </row>
    <row r="106" spans="1:16" ht="56" x14ac:dyDescent="0.2">
      <c r="A106" s="1" t="str">
        <f t="shared" si="3"/>
        <v>RAUCH</v>
      </c>
      <c r="B106" s="2" t="s">
        <v>15</v>
      </c>
      <c r="C106" s="2" t="s">
        <v>102</v>
      </c>
      <c r="D106" s="2" t="s">
        <v>123</v>
      </c>
      <c r="E106" s="2" t="s">
        <v>19</v>
      </c>
      <c r="F106" s="1">
        <v>4206</v>
      </c>
      <c r="G106" s="1">
        <v>4917</v>
      </c>
      <c r="H106" s="1">
        <v>912</v>
      </c>
      <c r="K106" s="1">
        <v>10035</v>
      </c>
      <c r="L106" s="1">
        <v>11249</v>
      </c>
      <c r="M106" s="1">
        <v>14086</v>
      </c>
      <c r="N106" s="1">
        <f t="shared" si="4"/>
        <v>0.41913303437967114</v>
      </c>
      <c r="P106" s="1">
        <f t="shared" si="5"/>
        <v>0.5808669656203288</v>
      </c>
    </row>
    <row r="107" spans="1:16" ht="56" x14ac:dyDescent="0.2">
      <c r="A107" s="1" t="str">
        <f t="shared" si="3"/>
        <v>SAN CAYETANO</v>
      </c>
      <c r="B107" s="2" t="s">
        <v>15</v>
      </c>
      <c r="C107" s="2" t="s">
        <v>102</v>
      </c>
      <c r="D107" s="2" t="s">
        <v>124</v>
      </c>
      <c r="E107" s="2" t="s">
        <v>19</v>
      </c>
      <c r="F107" s="1">
        <v>1304</v>
      </c>
      <c r="G107" s="1">
        <v>3117</v>
      </c>
      <c r="H107" s="1">
        <v>984</v>
      </c>
      <c r="K107" s="1">
        <v>5405</v>
      </c>
      <c r="L107" s="1">
        <v>5823</v>
      </c>
      <c r="M107" s="1">
        <v>7409</v>
      </c>
      <c r="N107" s="1">
        <f t="shared" si="4"/>
        <v>0.24125809435707679</v>
      </c>
      <c r="P107" s="1">
        <f t="shared" si="5"/>
        <v>0.75874190564292321</v>
      </c>
    </row>
    <row r="108" spans="1:16" ht="56" x14ac:dyDescent="0.2">
      <c r="A108" s="1" t="str">
        <f t="shared" si="3"/>
        <v>TANDIL</v>
      </c>
      <c r="B108" s="2" t="s">
        <v>15</v>
      </c>
      <c r="C108" s="2" t="s">
        <v>102</v>
      </c>
      <c r="D108" s="2" t="s">
        <v>125</v>
      </c>
      <c r="E108" s="2" t="s">
        <v>19</v>
      </c>
      <c r="F108" s="1">
        <v>24577</v>
      </c>
      <c r="G108" s="1">
        <v>35551</v>
      </c>
      <c r="H108" s="1">
        <v>18630</v>
      </c>
      <c r="I108" s="1">
        <v>2140</v>
      </c>
      <c r="K108" s="1">
        <v>80898</v>
      </c>
      <c r="L108" s="1">
        <v>90108</v>
      </c>
      <c r="M108" s="1">
        <v>116941</v>
      </c>
      <c r="N108" s="1">
        <f t="shared" si="4"/>
        <v>0.30380231896956661</v>
      </c>
      <c r="P108" s="1">
        <f t="shared" si="5"/>
        <v>0.66974461667779184</v>
      </c>
    </row>
    <row r="109" spans="1:16" ht="56" x14ac:dyDescent="0.2">
      <c r="A109" s="1" t="str">
        <f t="shared" si="3"/>
        <v>TORDILLO</v>
      </c>
      <c r="B109" s="2" t="s">
        <v>15</v>
      </c>
      <c r="C109" s="2" t="s">
        <v>102</v>
      </c>
      <c r="D109" s="2" t="s">
        <v>126</v>
      </c>
      <c r="E109" s="2" t="s">
        <v>19</v>
      </c>
      <c r="F109" s="1">
        <v>974</v>
      </c>
      <c r="G109" s="1">
        <v>901</v>
      </c>
      <c r="K109" s="1">
        <v>1875</v>
      </c>
      <c r="L109" s="1">
        <v>2051</v>
      </c>
      <c r="M109" s="1">
        <v>2437</v>
      </c>
      <c r="N109" s="1">
        <f t="shared" si="4"/>
        <v>0.51946666666666663</v>
      </c>
      <c r="P109" s="1">
        <f t="shared" si="5"/>
        <v>0.48053333333333331</v>
      </c>
    </row>
    <row r="110" spans="1:16" ht="56" x14ac:dyDescent="0.2">
      <c r="A110" s="1" t="str">
        <f t="shared" si="3"/>
        <v>PARTIDO DE LA COSTA</v>
      </c>
      <c r="B110" s="2" t="s">
        <v>15</v>
      </c>
      <c r="C110" s="2" t="s">
        <v>102</v>
      </c>
      <c r="D110" s="2" t="s">
        <v>127</v>
      </c>
      <c r="E110" s="2" t="s">
        <v>19</v>
      </c>
      <c r="F110" s="1">
        <v>20461</v>
      </c>
      <c r="G110" s="1">
        <v>19831</v>
      </c>
      <c r="H110" s="1">
        <v>13196</v>
      </c>
      <c r="I110" s="1">
        <v>2296</v>
      </c>
      <c r="K110" s="1">
        <v>55784</v>
      </c>
      <c r="L110" s="1">
        <v>61166</v>
      </c>
      <c r="M110" s="1">
        <v>84740</v>
      </c>
      <c r="N110" s="1">
        <f t="shared" si="4"/>
        <v>0.36678976050480422</v>
      </c>
      <c r="P110" s="1">
        <f t="shared" si="5"/>
        <v>0.59205148429657251</v>
      </c>
    </row>
    <row r="111" spans="1:16" ht="56" x14ac:dyDescent="0.2">
      <c r="A111" s="1" t="str">
        <f t="shared" si="3"/>
        <v>VILLA GESELL</v>
      </c>
      <c r="B111" s="2" t="s">
        <v>15</v>
      </c>
      <c r="C111" s="2" t="s">
        <v>102</v>
      </c>
      <c r="D111" s="2" t="s">
        <v>128</v>
      </c>
      <c r="E111" s="2" t="s">
        <v>19</v>
      </c>
      <c r="F111" s="1">
        <v>9885</v>
      </c>
      <c r="G111" s="1">
        <v>8563</v>
      </c>
      <c r="H111" s="1">
        <v>3903</v>
      </c>
      <c r="K111" s="1">
        <v>22351</v>
      </c>
      <c r="L111" s="1">
        <v>24612</v>
      </c>
      <c r="M111" s="1">
        <v>35486</v>
      </c>
      <c r="N111" s="1">
        <f t="shared" si="4"/>
        <v>0.44226209118160259</v>
      </c>
      <c r="P111" s="1">
        <f t="shared" si="5"/>
        <v>0.55773790881839735</v>
      </c>
    </row>
    <row r="112" spans="1:16" ht="56" x14ac:dyDescent="0.2">
      <c r="A112" s="1" t="str">
        <f t="shared" si="3"/>
        <v>LEZAMA</v>
      </c>
      <c r="B112" s="2" t="s">
        <v>15</v>
      </c>
      <c r="C112" s="2" t="s">
        <v>102</v>
      </c>
      <c r="D112" s="2" t="s">
        <v>129</v>
      </c>
      <c r="E112" s="2" t="s">
        <v>19</v>
      </c>
      <c r="F112" s="1">
        <v>1289</v>
      </c>
      <c r="G112" s="1">
        <v>2046</v>
      </c>
      <c r="H112" s="1">
        <v>530</v>
      </c>
      <c r="K112" s="1">
        <v>3865</v>
      </c>
      <c r="L112" s="1">
        <v>4165</v>
      </c>
      <c r="M112" s="1">
        <v>5055</v>
      </c>
      <c r="N112" s="1">
        <f t="shared" si="4"/>
        <v>0.33350582147477359</v>
      </c>
      <c r="P112" s="1">
        <f t="shared" si="5"/>
        <v>0.66649417852522641</v>
      </c>
    </row>
    <row r="113" spans="1:16" ht="42" x14ac:dyDescent="0.2">
      <c r="A113" s="1" t="str">
        <f t="shared" si="3"/>
        <v>SECCION SEXTA</v>
      </c>
      <c r="B113" s="2" t="s">
        <v>15</v>
      </c>
      <c r="C113" s="2" t="s">
        <v>130</v>
      </c>
      <c r="D113" s="2" t="s">
        <v>130</v>
      </c>
      <c r="E113" s="2" t="s">
        <v>18</v>
      </c>
      <c r="F113" s="1">
        <v>140692</v>
      </c>
      <c r="G113" s="1">
        <v>142538</v>
      </c>
      <c r="H113" s="1">
        <v>134384</v>
      </c>
      <c r="I113" s="1">
        <v>12484</v>
      </c>
      <c r="K113" s="1">
        <v>430098</v>
      </c>
      <c r="L113" s="1">
        <v>503201</v>
      </c>
      <c r="M113" s="1">
        <v>663636</v>
      </c>
      <c r="N113" s="1">
        <f t="shared" si="4"/>
        <v>0.32711614562262553</v>
      </c>
      <c r="P113" s="1">
        <f t="shared" si="5"/>
        <v>0.64385791145273863</v>
      </c>
    </row>
    <row r="114" spans="1:16" ht="56" x14ac:dyDescent="0.2">
      <c r="A114" s="1" t="str">
        <f t="shared" si="3"/>
        <v>ADOLFO ALSINA</v>
      </c>
      <c r="B114" s="2" t="s">
        <v>15</v>
      </c>
      <c r="C114" s="2" t="s">
        <v>130</v>
      </c>
      <c r="D114" s="2" t="s">
        <v>131</v>
      </c>
      <c r="E114" s="2" t="s">
        <v>19</v>
      </c>
      <c r="F114" s="1">
        <v>3418</v>
      </c>
      <c r="G114" s="1">
        <v>3822</v>
      </c>
      <c r="H114" s="1">
        <v>2486</v>
      </c>
      <c r="K114" s="1">
        <v>9726</v>
      </c>
      <c r="L114" s="1">
        <v>10944</v>
      </c>
      <c r="M114" s="1">
        <v>14634</v>
      </c>
      <c r="N114" s="1">
        <f t="shared" si="4"/>
        <v>0.35142915895537735</v>
      </c>
      <c r="P114" s="1">
        <f t="shared" si="5"/>
        <v>0.6485708410446227</v>
      </c>
    </row>
    <row r="115" spans="1:16" ht="56" x14ac:dyDescent="0.2">
      <c r="A115" s="1" t="str">
        <f t="shared" si="3"/>
        <v>BAHIA BLANCA</v>
      </c>
      <c r="B115" s="2" t="s">
        <v>15</v>
      </c>
      <c r="C115" s="2" t="s">
        <v>130</v>
      </c>
      <c r="D115" s="2" t="s">
        <v>132</v>
      </c>
      <c r="E115" s="2" t="s">
        <v>19</v>
      </c>
      <c r="F115" s="1">
        <v>64808</v>
      </c>
      <c r="G115" s="1">
        <v>43785</v>
      </c>
      <c r="H115" s="1">
        <v>57148</v>
      </c>
      <c r="I115" s="1">
        <v>5911</v>
      </c>
      <c r="J115" s="1">
        <v>4581</v>
      </c>
      <c r="K115" s="1">
        <v>176233</v>
      </c>
      <c r="L115" s="1">
        <v>195874</v>
      </c>
      <c r="M115" s="1">
        <v>260462</v>
      </c>
      <c r="N115" s="1">
        <f t="shared" si="4"/>
        <v>0.3677404345383668</v>
      </c>
      <c r="P115" s="1">
        <f t="shared" si="5"/>
        <v>0.57272474508179516</v>
      </c>
    </row>
    <row r="116" spans="1:16" ht="56" x14ac:dyDescent="0.2">
      <c r="A116" s="1" t="str">
        <f t="shared" si="3"/>
        <v>PATAGONES</v>
      </c>
      <c r="B116" s="2" t="s">
        <v>15</v>
      </c>
      <c r="C116" s="2" t="s">
        <v>130</v>
      </c>
      <c r="D116" s="2" t="s">
        <v>133</v>
      </c>
      <c r="E116" s="2" t="s">
        <v>19</v>
      </c>
      <c r="F116" s="1">
        <v>8183</v>
      </c>
      <c r="G116" s="1">
        <v>7767</v>
      </c>
      <c r="H116" s="1">
        <v>4192</v>
      </c>
      <c r="K116" s="1">
        <v>20142</v>
      </c>
      <c r="L116" s="1">
        <v>22414</v>
      </c>
      <c r="M116" s="1">
        <v>29803</v>
      </c>
      <c r="N116" s="1">
        <f t="shared" si="4"/>
        <v>0.40626551484460333</v>
      </c>
      <c r="P116" s="1">
        <f t="shared" si="5"/>
        <v>0.59373448515539673</v>
      </c>
    </row>
    <row r="117" spans="1:16" ht="56" x14ac:dyDescent="0.2">
      <c r="A117" s="1" t="str">
        <f t="shared" si="3"/>
        <v>CORONEL DORREGO</v>
      </c>
      <c r="B117" s="2" t="s">
        <v>15</v>
      </c>
      <c r="C117" s="2" t="s">
        <v>130</v>
      </c>
      <c r="D117" s="2" t="s">
        <v>134</v>
      </c>
      <c r="E117" s="2" t="s">
        <v>19</v>
      </c>
      <c r="F117" s="1">
        <v>3830</v>
      </c>
      <c r="G117" s="1">
        <v>5013</v>
      </c>
      <c r="H117" s="1">
        <v>1305</v>
      </c>
      <c r="K117" s="1">
        <v>10148</v>
      </c>
      <c r="L117" s="1">
        <v>11153</v>
      </c>
      <c r="M117" s="1">
        <v>14031</v>
      </c>
      <c r="N117" s="1">
        <f t="shared" si="4"/>
        <v>0.37741426882144263</v>
      </c>
      <c r="P117" s="1">
        <f t="shared" si="5"/>
        <v>0.62258573117855731</v>
      </c>
    </row>
    <row r="118" spans="1:16" ht="56" x14ac:dyDescent="0.2">
      <c r="A118" s="1" t="str">
        <f t="shared" si="3"/>
        <v>CORONEL PRINGLES</v>
      </c>
      <c r="B118" s="2" t="s">
        <v>15</v>
      </c>
      <c r="C118" s="2" t="s">
        <v>130</v>
      </c>
      <c r="D118" s="2" t="s">
        <v>135</v>
      </c>
      <c r="E118" s="2" t="s">
        <v>19</v>
      </c>
      <c r="F118" s="1">
        <v>3110</v>
      </c>
      <c r="G118" s="1">
        <v>7720</v>
      </c>
      <c r="H118" s="1">
        <v>2709</v>
      </c>
      <c r="I118" s="1">
        <v>541</v>
      </c>
      <c r="K118" s="1">
        <v>14080</v>
      </c>
      <c r="L118" s="1">
        <v>15453</v>
      </c>
      <c r="M118" s="1">
        <v>20648</v>
      </c>
      <c r="N118" s="1">
        <f t="shared" si="4"/>
        <v>0.22088068181818182</v>
      </c>
      <c r="P118" s="1">
        <f t="shared" si="5"/>
        <v>0.74069602272727275</v>
      </c>
    </row>
    <row r="119" spans="1:16" ht="56" x14ac:dyDescent="0.2">
      <c r="A119" s="1" t="str">
        <f t="shared" si="3"/>
        <v>CORONEL ROSALES</v>
      </c>
      <c r="B119" s="2" t="s">
        <v>15</v>
      </c>
      <c r="C119" s="2" t="s">
        <v>130</v>
      </c>
      <c r="D119" s="2" t="s">
        <v>136</v>
      </c>
      <c r="E119" s="2" t="s">
        <v>19</v>
      </c>
      <c r="F119" s="1">
        <v>12507</v>
      </c>
      <c r="G119" s="1">
        <v>10630</v>
      </c>
      <c r="H119" s="1">
        <v>10365</v>
      </c>
      <c r="J119" s="1">
        <v>1857</v>
      </c>
      <c r="K119" s="1">
        <v>35359</v>
      </c>
      <c r="L119" s="1">
        <v>39273</v>
      </c>
      <c r="M119" s="1">
        <v>52194</v>
      </c>
      <c r="N119" s="1">
        <f t="shared" si="4"/>
        <v>0.35371475437653782</v>
      </c>
      <c r="P119" s="1">
        <f t="shared" si="5"/>
        <v>0.59376679204728644</v>
      </c>
    </row>
    <row r="120" spans="1:16" ht="56" x14ac:dyDescent="0.2">
      <c r="A120" s="1" t="str">
        <f t="shared" si="3"/>
        <v>CORONEL SUAREZ</v>
      </c>
      <c r="B120" s="2" t="s">
        <v>15</v>
      </c>
      <c r="C120" s="2" t="s">
        <v>130</v>
      </c>
      <c r="D120" s="2" t="s">
        <v>137</v>
      </c>
      <c r="E120" s="2" t="s">
        <v>19</v>
      </c>
      <c r="F120" s="1">
        <v>10318</v>
      </c>
      <c r="G120" s="1">
        <v>9672</v>
      </c>
      <c r="H120" s="1">
        <v>3706</v>
      </c>
      <c r="I120" s="1">
        <v>660</v>
      </c>
      <c r="K120" s="1">
        <v>24356</v>
      </c>
      <c r="L120" s="1">
        <v>27270</v>
      </c>
      <c r="M120" s="1">
        <v>35342</v>
      </c>
      <c r="N120" s="1">
        <f t="shared" si="4"/>
        <v>0.42363278042371488</v>
      </c>
      <c r="P120" s="1">
        <f t="shared" si="5"/>
        <v>0.54926917392018393</v>
      </c>
    </row>
    <row r="121" spans="1:16" ht="56" x14ac:dyDescent="0.2">
      <c r="A121" s="1" t="str">
        <f t="shared" si="3"/>
        <v>DAIREAUX</v>
      </c>
      <c r="B121" s="2" t="s">
        <v>15</v>
      </c>
      <c r="C121" s="2" t="s">
        <v>130</v>
      </c>
      <c r="D121" s="2" t="s">
        <v>138</v>
      </c>
      <c r="E121" s="2" t="s">
        <v>19</v>
      </c>
      <c r="F121" s="1">
        <v>5875</v>
      </c>
      <c r="G121" s="1">
        <v>4463</v>
      </c>
      <c r="K121" s="1">
        <v>10338</v>
      </c>
      <c r="L121" s="1">
        <v>12167</v>
      </c>
      <c r="M121" s="1">
        <v>15339</v>
      </c>
      <c r="N121" s="1">
        <f t="shared" si="4"/>
        <v>0.56829173921454823</v>
      </c>
      <c r="P121" s="1">
        <f t="shared" si="5"/>
        <v>0.43170826078545171</v>
      </c>
    </row>
    <row r="122" spans="1:16" ht="56" x14ac:dyDescent="0.2">
      <c r="A122" s="1" t="str">
        <f t="shared" si="3"/>
        <v>GENERAL LA MADRID</v>
      </c>
      <c r="B122" s="2" t="s">
        <v>15</v>
      </c>
      <c r="C122" s="2" t="s">
        <v>130</v>
      </c>
      <c r="D122" s="2" t="s">
        <v>139</v>
      </c>
      <c r="E122" s="2" t="s">
        <v>19</v>
      </c>
      <c r="F122" s="1">
        <v>1941</v>
      </c>
      <c r="G122" s="1">
        <v>3798</v>
      </c>
      <c r="H122" s="1">
        <v>1133</v>
      </c>
      <c r="K122" s="1">
        <v>6872</v>
      </c>
      <c r="L122" s="1">
        <v>7788</v>
      </c>
      <c r="M122" s="1">
        <v>9848</v>
      </c>
      <c r="N122" s="1">
        <f t="shared" si="4"/>
        <v>0.28245052386495928</v>
      </c>
      <c r="P122" s="1">
        <f t="shared" si="5"/>
        <v>0.71754947613504072</v>
      </c>
    </row>
    <row r="123" spans="1:16" ht="56" x14ac:dyDescent="0.2">
      <c r="A123" s="1" t="str">
        <f t="shared" si="3"/>
        <v>ADOLFO GONZALEZ CHAVEZ</v>
      </c>
      <c r="B123" s="2" t="s">
        <v>15</v>
      </c>
      <c r="C123" s="2" t="s">
        <v>130</v>
      </c>
      <c r="D123" s="2" t="s">
        <v>140</v>
      </c>
      <c r="E123" s="2" t="s">
        <v>19</v>
      </c>
      <c r="F123" s="1">
        <v>3333</v>
      </c>
      <c r="G123" s="1">
        <v>4223</v>
      </c>
      <c r="K123" s="1">
        <v>7556</v>
      </c>
      <c r="L123" s="1">
        <v>8611</v>
      </c>
      <c r="M123" s="1">
        <v>10881</v>
      </c>
      <c r="N123" s="1">
        <f t="shared" si="4"/>
        <v>0.44110640550555852</v>
      </c>
      <c r="P123" s="1">
        <f t="shared" si="5"/>
        <v>0.55889359449444154</v>
      </c>
    </row>
    <row r="124" spans="1:16" ht="56" x14ac:dyDescent="0.2">
      <c r="A124" s="1" t="str">
        <f t="shared" si="3"/>
        <v>GUAMINI</v>
      </c>
      <c r="B124" s="2" t="s">
        <v>15</v>
      </c>
      <c r="C124" s="2" t="s">
        <v>130</v>
      </c>
      <c r="D124" s="2" t="s">
        <v>141</v>
      </c>
      <c r="E124" s="2" t="s">
        <v>19</v>
      </c>
      <c r="F124" s="1">
        <v>3801</v>
      </c>
      <c r="G124" s="1">
        <v>3248</v>
      </c>
      <c r="H124" s="1">
        <v>805</v>
      </c>
      <c r="J124" s="1">
        <v>4</v>
      </c>
      <c r="K124" s="1">
        <v>7858</v>
      </c>
      <c r="L124" s="1">
        <v>8340</v>
      </c>
      <c r="M124" s="1">
        <v>10194</v>
      </c>
      <c r="N124" s="1">
        <f t="shared" si="4"/>
        <v>0.48371086790531942</v>
      </c>
      <c r="P124" s="1">
        <f t="shared" si="5"/>
        <v>0.51578009671672176</v>
      </c>
    </row>
    <row r="125" spans="1:16" ht="56" x14ac:dyDescent="0.2">
      <c r="A125" s="1" t="str">
        <f t="shared" si="3"/>
        <v>BENITO JUAREZ</v>
      </c>
      <c r="B125" s="2" t="s">
        <v>15</v>
      </c>
      <c r="C125" s="2" t="s">
        <v>130</v>
      </c>
      <c r="D125" s="2" t="s">
        <v>142</v>
      </c>
      <c r="E125" s="2" t="s">
        <v>19</v>
      </c>
      <c r="F125" s="1">
        <v>5919</v>
      </c>
      <c r="G125" s="1">
        <v>1734</v>
      </c>
      <c r="J125" s="1">
        <v>5364</v>
      </c>
      <c r="K125" s="1">
        <v>13017</v>
      </c>
      <c r="L125" s="1">
        <v>14374</v>
      </c>
      <c r="M125" s="1">
        <v>18080</v>
      </c>
      <c r="N125" s="1">
        <f t="shared" si="4"/>
        <v>0.45471306752707996</v>
      </c>
      <c r="P125" s="1">
        <f t="shared" si="5"/>
        <v>0.13321041714680801</v>
      </c>
    </row>
    <row r="126" spans="1:16" ht="56" x14ac:dyDescent="0.2">
      <c r="A126" s="1" t="str">
        <f t="shared" si="3"/>
        <v>LAPRIDA</v>
      </c>
      <c r="B126" s="2" t="s">
        <v>15</v>
      </c>
      <c r="C126" s="2" t="s">
        <v>130</v>
      </c>
      <c r="D126" s="2" t="s">
        <v>143</v>
      </c>
      <c r="E126" s="2" t="s">
        <v>19</v>
      </c>
      <c r="F126" s="1">
        <v>3613</v>
      </c>
      <c r="G126" s="1">
        <v>3062</v>
      </c>
      <c r="H126" s="1">
        <v>790</v>
      </c>
      <c r="K126" s="1">
        <v>7465</v>
      </c>
      <c r="L126" s="1">
        <v>7900</v>
      </c>
      <c r="M126" s="1">
        <v>9927</v>
      </c>
      <c r="N126" s="1">
        <f t="shared" si="4"/>
        <v>0.48399196249162757</v>
      </c>
      <c r="P126" s="1">
        <f t="shared" si="5"/>
        <v>0.51600803750837243</v>
      </c>
    </row>
    <row r="127" spans="1:16" ht="56" x14ac:dyDescent="0.2">
      <c r="A127" s="1" t="str">
        <f t="shared" si="3"/>
        <v>PELLEGRINI</v>
      </c>
      <c r="B127" s="2" t="s">
        <v>15</v>
      </c>
      <c r="C127" s="2" t="s">
        <v>130</v>
      </c>
      <c r="D127" s="2" t="s">
        <v>144</v>
      </c>
      <c r="E127" s="2" t="s">
        <v>19</v>
      </c>
      <c r="F127" s="1">
        <v>2012</v>
      </c>
      <c r="G127" s="1">
        <v>2167</v>
      </c>
      <c r="K127" s="1">
        <v>4179</v>
      </c>
      <c r="L127" s="1">
        <v>4563</v>
      </c>
      <c r="M127" s="1">
        <v>5307</v>
      </c>
      <c r="N127" s="1">
        <f t="shared" si="4"/>
        <v>0.48145489351519505</v>
      </c>
      <c r="P127" s="1">
        <f t="shared" si="5"/>
        <v>0.51854510648480501</v>
      </c>
    </row>
    <row r="128" spans="1:16" ht="56" x14ac:dyDescent="0.2">
      <c r="A128" s="1" t="str">
        <f t="shared" si="3"/>
        <v>PUAN</v>
      </c>
      <c r="B128" s="2" t="s">
        <v>15</v>
      </c>
      <c r="C128" s="2" t="s">
        <v>130</v>
      </c>
      <c r="D128" s="2" t="s">
        <v>145</v>
      </c>
      <c r="E128" s="2" t="s">
        <v>19</v>
      </c>
      <c r="F128" s="1">
        <v>2753</v>
      </c>
      <c r="G128" s="1">
        <v>4521</v>
      </c>
      <c r="H128" s="1">
        <v>2675</v>
      </c>
      <c r="K128" s="1">
        <v>9949</v>
      </c>
      <c r="L128" s="1">
        <v>10866</v>
      </c>
      <c r="M128" s="1">
        <v>14477</v>
      </c>
      <c r="N128" s="1">
        <f t="shared" si="4"/>
        <v>0.27671122725902103</v>
      </c>
      <c r="P128" s="1">
        <f t="shared" si="5"/>
        <v>0.72328877274097902</v>
      </c>
    </row>
    <row r="129" spans="1:16" ht="56" x14ac:dyDescent="0.2">
      <c r="A129" s="1" t="str">
        <f t="shared" si="3"/>
        <v>SAAVEDRA</v>
      </c>
      <c r="B129" s="2" t="s">
        <v>15</v>
      </c>
      <c r="C129" s="2" t="s">
        <v>130</v>
      </c>
      <c r="D129" s="2" t="s">
        <v>146</v>
      </c>
      <c r="E129" s="2" t="s">
        <v>19</v>
      </c>
      <c r="F129" s="1">
        <v>2002</v>
      </c>
      <c r="G129" s="1">
        <v>4189</v>
      </c>
      <c r="H129" s="1">
        <v>1981</v>
      </c>
      <c r="J129" s="1">
        <v>4920</v>
      </c>
      <c r="K129" s="1">
        <v>13092</v>
      </c>
      <c r="L129" s="1">
        <v>14081</v>
      </c>
      <c r="M129" s="1">
        <v>18953</v>
      </c>
      <c r="N129" s="1">
        <f t="shared" si="4"/>
        <v>0.15291781240452185</v>
      </c>
      <c r="P129" s="1">
        <f t="shared" si="5"/>
        <v>0.47128017109685305</v>
      </c>
    </row>
    <row r="130" spans="1:16" ht="56" x14ac:dyDescent="0.2">
      <c r="A130" s="1" t="str">
        <f t="shared" si="3"/>
        <v>SALLIQUELO</v>
      </c>
      <c r="B130" s="2" t="s">
        <v>15</v>
      </c>
      <c r="C130" s="2" t="s">
        <v>130</v>
      </c>
      <c r="D130" s="2" t="s">
        <v>147</v>
      </c>
      <c r="E130" s="2" t="s">
        <v>19</v>
      </c>
      <c r="F130" s="1">
        <v>2954</v>
      </c>
      <c r="G130" s="1">
        <v>2578</v>
      </c>
      <c r="H130" s="1">
        <v>445</v>
      </c>
      <c r="K130" s="1">
        <v>5977</v>
      </c>
      <c r="L130" s="1">
        <v>6396</v>
      </c>
      <c r="M130" s="1">
        <v>7901</v>
      </c>
      <c r="N130" s="1">
        <f t="shared" si="4"/>
        <v>0.49422787351514136</v>
      </c>
      <c r="P130" s="1">
        <f t="shared" si="5"/>
        <v>0.50577212648485859</v>
      </c>
    </row>
    <row r="131" spans="1:16" ht="56" x14ac:dyDescent="0.2">
      <c r="A131" s="1" t="str">
        <f t="shared" ref="A131:A194" si="6">D131</f>
        <v>TORNQUIST</v>
      </c>
      <c r="B131" s="2" t="s">
        <v>15</v>
      </c>
      <c r="C131" s="2" t="s">
        <v>130</v>
      </c>
      <c r="D131" s="2" t="s">
        <v>148</v>
      </c>
      <c r="E131" s="2" t="s">
        <v>19</v>
      </c>
      <c r="F131" s="1">
        <v>4420</v>
      </c>
      <c r="G131" s="1">
        <v>3736</v>
      </c>
      <c r="H131" s="1">
        <v>2191</v>
      </c>
      <c r="K131" s="1">
        <v>10347</v>
      </c>
      <c r="L131" s="1">
        <v>11541</v>
      </c>
      <c r="M131" s="1">
        <v>16282</v>
      </c>
      <c r="N131" s="1">
        <f t="shared" ref="N131:N194" si="7">F131/K131</f>
        <v>0.42717695950517059</v>
      </c>
      <c r="P131" s="1">
        <f t="shared" ref="P131:P143" si="8">(G131+H131)/K131</f>
        <v>0.57282304049482946</v>
      </c>
    </row>
    <row r="132" spans="1:16" ht="56" x14ac:dyDescent="0.2">
      <c r="A132" s="1" t="str">
        <f t="shared" si="6"/>
        <v>TRES ARROYOS</v>
      </c>
      <c r="B132" s="2" t="s">
        <v>15</v>
      </c>
      <c r="C132" s="2" t="s">
        <v>130</v>
      </c>
      <c r="D132" s="2" t="s">
        <v>149</v>
      </c>
      <c r="E132" s="2" t="s">
        <v>19</v>
      </c>
      <c r="F132" s="1">
        <v>13045</v>
      </c>
      <c r="G132" s="1">
        <v>10080</v>
      </c>
      <c r="H132" s="1">
        <v>4397</v>
      </c>
      <c r="I132" s="1">
        <v>625</v>
      </c>
      <c r="J132" s="1">
        <v>9500</v>
      </c>
      <c r="K132" s="1">
        <v>37647</v>
      </c>
      <c r="L132" s="1">
        <v>40719</v>
      </c>
      <c r="M132" s="1">
        <v>54124</v>
      </c>
      <c r="N132" s="1">
        <f t="shared" si="7"/>
        <v>0.34650835391930301</v>
      </c>
      <c r="P132" s="1">
        <f t="shared" si="8"/>
        <v>0.3845459133529896</v>
      </c>
    </row>
    <row r="133" spans="1:16" ht="56" x14ac:dyDescent="0.2">
      <c r="A133" s="1" t="str">
        <f t="shared" si="6"/>
        <v>MONTE HERMOSO</v>
      </c>
      <c r="B133" s="2" t="s">
        <v>15</v>
      </c>
      <c r="C133" s="2" t="s">
        <v>130</v>
      </c>
      <c r="D133" s="2" t="s">
        <v>150</v>
      </c>
      <c r="E133" s="2" t="s">
        <v>19</v>
      </c>
      <c r="F133" s="1">
        <v>3535</v>
      </c>
      <c r="G133" s="1">
        <v>1862</v>
      </c>
      <c r="K133" s="1">
        <v>5397</v>
      </c>
      <c r="L133" s="1">
        <v>7014</v>
      </c>
      <c r="M133" s="1">
        <v>9730</v>
      </c>
      <c r="N133" s="1">
        <f t="shared" si="7"/>
        <v>0.65499351491569391</v>
      </c>
      <c r="P133" s="1">
        <f t="shared" si="8"/>
        <v>0.34500648508430609</v>
      </c>
    </row>
    <row r="134" spans="1:16" ht="56" x14ac:dyDescent="0.2">
      <c r="A134" s="1" t="str">
        <f t="shared" si="6"/>
        <v>VILLARINO</v>
      </c>
      <c r="B134" s="2" t="s">
        <v>15</v>
      </c>
      <c r="C134" s="2" t="s">
        <v>130</v>
      </c>
      <c r="D134" s="2" t="s">
        <v>151</v>
      </c>
      <c r="E134" s="2" t="s">
        <v>19</v>
      </c>
      <c r="F134" s="1">
        <v>2611</v>
      </c>
      <c r="G134" s="1">
        <v>6137</v>
      </c>
      <c r="H134" s="1">
        <v>3977</v>
      </c>
      <c r="J134" s="1">
        <v>6237</v>
      </c>
      <c r="K134" s="1">
        <v>18962</v>
      </c>
      <c r="L134" s="1">
        <v>20791</v>
      </c>
      <c r="M134" s="1">
        <v>28590</v>
      </c>
      <c r="N134" s="1">
        <f t="shared" si="7"/>
        <v>0.13769644552262419</v>
      </c>
      <c r="P134" s="1">
        <f t="shared" si="8"/>
        <v>0.53338255458284989</v>
      </c>
    </row>
    <row r="135" spans="1:16" ht="56" x14ac:dyDescent="0.2">
      <c r="A135" s="1" t="str">
        <f t="shared" si="6"/>
        <v>TRES LOMAS</v>
      </c>
      <c r="B135" s="2" t="s">
        <v>15</v>
      </c>
      <c r="C135" s="2" t="s">
        <v>130</v>
      </c>
      <c r="D135" s="2" t="s">
        <v>152</v>
      </c>
      <c r="E135" s="2" t="s">
        <v>19</v>
      </c>
      <c r="F135" s="1">
        <v>2362</v>
      </c>
      <c r="G135" s="1">
        <v>2619</v>
      </c>
      <c r="K135" s="1">
        <v>4981</v>
      </c>
      <c r="L135" s="1">
        <v>5669</v>
      </c>
      <c r="M135" s="1">
        <v>6889</v>
      </c>
      <c r="N135" s="1">
        <f t="shared" si="7"/>
        <v>0.47420196747641036</v>
      </c>
      <c r="P135" s="1">
        <f t="shared" si="8"/>
        <v>0.52579803252358959</v>
      </c>
    </row>
    <row r="136" spans="1:16" ht="42" x14ac:dyDescent="0.2">
      <c r="A136" s="1" t="str">
        <f t="shared" si="6"/>
        <v>SECCION SEPTIMA</v>
      </c>
      <c r="B136" s="2" t="s">
        <v>15</v>
      </c>
      <c r="C136" s="2" t="s">
        <v>153</v>
      </c>
      <c r="D136" s="2" t="s">
        <v>153</v>
      </c>
      <c r="E136" s="2" t="s">
        <v>21</v>
      </c>
      <c r="F136" s="1">
        <v>66883</v>
      </c>
      <c r="G136" s="1">
        <v>64221</v>
      </c>
      <c r="H136" s="1">
        <v>53298</v>
      </c>
      <c r="I136" s="1">
        <v>4340</v>
      </c>
      <c r="K136" s="1">
        <v>188742</v>
      </c>
      <c r="L136" s="1">
        <v>220099</v>
      </c>
      <c r="M136" s="1">
        <v>282122</v>
      </c>
      <c r="N136" s="1">
        <f t="shared" si="7"/>
        <v>0.35436203918576681</v>
      </c>
      <c r="P136" s="1">
        <f t="shared" si="8"/>
        <v>0.62264360873573454</v>
      </c>
    </row>
    <row r="137" spans="1:16" ht="56" x14ac:dyDescent="0.2">
      <c r="A137" s="1" t="str">
        <f t="shared" si="6"/>
        <v>AZUL</v>
      </c>
      <c r="B137" s="2" t="s">
        <v>15</v>
      </c>
      <c r="C137" s="2" t="s">
        <v>153</v>
      </c>
      <c r="D137" s="2" t="s">
        <v>154</v>
      </c>
      <c r="E137" s="2" t="s">
        <v>19</v>
      </c>
      <c r="F137" s="1">
        <v>13922</v>
      </c>
      <c r="G137" s="1">
        <v>13141</v>
      </c>
      <c r="H137" s="1">
        <v>12697</v>
      </c>
      <c r="I137" s="1">
        <v>836</v>
      </c>
      <c r="K137" s="1">
        <v>40596</v>
      </c>
      <c r="L137" s="1">
        <v>45515</v>
      </c>
      <c r="M137" s="1">
        <v>59569</v>
      </c>
      <c r="N137" s="1">
        <f t="shared" si="7"/>
        <v>0.3429401911518376</v>
      </c>
      <c r="P137" s="1">
        <f t="shared" si="8"/>
        <v>0.63646664696029165</v>
      </c>
    </row>
    <row r="138" spans="1:16" ht="56" x14ac:dyDescent="0.2">
      <c r="A138" s="1" t="str">
        <f t="shared" si="6"/>
        <v>BOLIVAR</v>
      </c>
      <c r="B138" s="2" t="s">
        <v>15</v>
      </c>
      <c r="C138" s="2" t="s">
        <v>153</v>
      </c>
      <c r="D138" s="2" t="s">
        <v>155</v>
      </c>
      <c r="E138" s="2" t="s">
        <v>19</v>
      </c>
      <c r="F138" s="1">
        <v>9998</v>
      </c>
      <c r="G138" s="1">
        <v>9659</v>
      </c>
      <c r="H138" s="1">
        <v>3173</v>
      </c>
      <c r="I138" s="1">
        <v>420</v>
      </c>
      <c r="K138" s="1">
        <v>23250</v>
      </c>
      <c r="L138" s="1">
        <v>25118</v>
      </c>
      <c r="M138" s="1">
        <v>31558</v>
      </c>
      <c r="N138" s="1">
        <f t="shared" si="7"/>
        <v>0.43002150537634409</v>
      </c>
      <c r="P138" s="1">
        <f t="shared" si="8"/>
        <v>0.55191397849462365</v>
      </c>
    </row>
    <row r="139" spans="1:16" ht="56" x14ac:dyDescent="0.2">
      <c r="A139" s="1" t="str">
        <f t="shared" si="6"/>
        <v>GENERAL ALVEAR</v>
      </c>
      <c r="B139" s="2" t="s">
        <v>15</v>
      </c>
      <c r="C139" s="2" t="s">
        <v>153</v>
      </c>
      <c r="D139" s="2" t="s">
        <v>156</v>
      </c>
      <c r="E139" s="2" t="s">
        <v>19</v>
      </c>
      <c r="F139" s="1">
        <v>3096</v>
      </c>
      <c r="G139" s="1">
        <v>3161</v>
      </c>
      <c r="H139" s="1">
        <v>757</v>
      </c>
      <c r="K139" s="1">
        <v>7014</v>
      </c>
      <c r="L139" s="1">
        <v>7481</v>
      </c>
      <c r="M139" s="1">
        <v>9037</v>
      </c>
      <c r="N139" s="1">
        <f t="shared" si="7"/>
        <v>0.44140290846877672</v>
      </c>
      <c r="P139" s="1">
        <f t="shared" si="8"/>
        <v>0.55859709153122328</v>
      </c>
    </row>
    <row r="140" spans="1:16" ht="56" x14ac:dyDescent="0.2">
      <c r="A140" s="1" t="str">
        <f t="shared" si="6"/>
        <v>OLAVARRIA</v>
      </c>
      <c r="B140" s="2" t="s">
        <v>15</v>
      </c>
      <c r="C140" s="2" t="s">
        <v>153</v>
      </c>
      <c r="D140" s="2" t="s">
        <v>157</v>
      </c>
      <c r="E140" s="2" t="s">
        <v>19</v>
      </c>
      <c r="F140" s="1">
        <v>28902</v>
      </c>
      <c r="G140" s="1">
        <v>19509</v>
      </c>
      <c r="H140" s="1">
        <v>19514</v>
      </c>
      <c r="I140" s="1">
        <v>1616</v>
      </c>
      <c r="K140" s="1">
        <v>69541</v>
      </c>
      <c r="L140" s="1">
        <v>76769</v>
      </c>
      <c r="M140" s="1">
        <v>99866</v>
      </c>
      <c r="N140" s="1">
        <f t="shared" si="7"/>
        <v>0.41561093455659254</v>
      </c>
      <c r="P140" s="1">
        <f t="shared" si="8"/>
        <v>0.56115097568340977</v>
      </c>
    </row>
    <row r="141" spans="1:16" ht="56" x14ac:dyDescent="0.2">
      <c r="A141" s="1" t="str">
        <f t="shared" si="6"/>
        <v>ROQUE PEREZ</v>
      </c>
      <c r="B141" s="2" t="s">
        <v>15</v>
      </c>
      <c r="C141" s="2" t="s">
        <v>153</v>
      </c>
      <c r="D141" s="2" t="s">
        <v>158</v>
      </c>
      <c r="E141" s="2" t="s">
        <v>19</v>
      </c>
      <c r="F141" s="1">
        <v>4500</v>
      </c>
      <c r="G141" s="1">
        <v>3356</v>
      </c>
      <c r="H141" s="1">
        <v>810</v>
      </c>
      <c r="K141" s="1">
        <v>8666</v>
      </c>
      <c r="L141" s="1">
        <v>9363</v>
      </c>
      <c r="M141" s="1">
        <v>11572</v>
      </c>
      <c r="N141" s="1">
        <f t="shared" si="7"/>
        <v>0.51927071313177942</v>
      </c>
      <c r="P141" s="1">
        <f t="shared" si="8"/>
        <v>0.48072928686822064</v>
      </c>
    </row>
    <row r="142" spans="1:16" ht="56" x14ac:dyDescent="0.2">
      <c r="A142" s="1" t="str">
        <f t="shared" si="6"/>
        <v>SALADILLO</v>
      </c>
      <c r="B142" s="2" t="s">
        <v>15</v>
      </c>
      <c r="C142" s="2" t="s">
        <v>153</v>
      </c>
      <c r="D142" s="2" t="s">
        <v>159</v>
      </c>
      <c r="E142" s="2" t="s">
        <v>19</v>
      </c>
      <c r="F142" s="1">
        <v>7007</v>
      </c>
      <c r="G142" s="1">
        <v>9579</v>
      </c>
      <c r="H142" s="1">
        <v>4088</v>
      </c>
      <c r="K142" s="1">
        <v>20674</v>
      </c>
      <c r="L142" s="1">
        <v>23157</v>
      </c>
      <c r="M142" s="1">
        <v>29697</v>
      </c>
      <c r="N142" s="1">
        <f t="shared" si="7"/>
        <v>0.33892812227919128</v>
      </c>
      <c r="P142" s="1">
        <f t="shared" si="8"/>
        <v>0.66107187772080878</v>
      </c>
    </row>
    <row r="143" spans="1:16" ht="56" x14ac:dyDescent="0.2">
      <c r="A143" s="1" t="str">
        <f t="shared" si="6"/>
        <v>TAPALQUE</v>
      </c>
      <c r="B143" s="2" t="s">
        <v>15</v>
      </c>
      <c r="C143" s="2" t="s">
        <v>153</v>
      </c>
      <c r="D143" s="2" t="s">
        <v>160</v>
      </c>
      <c r="E143" s="2" t="s">
        <v>19</v>
      </c>
      <c r="F143" s="1">
        <v>3185</v>
      </c>
      <c r="G143" s="1">
        <v>2972</v>
      </c>
      <c r="H143" s="1">
        <v>542</v>
      </c>
      <c r="K143" s="1">
        <v>6699</v>
      </c>
      <c r="L143" s="1">
        <v>7186</v>
      </c>
      <c r="M143" s="1">
        <v>8929</v>
      </c>
      <c r="N143" s="1">
        <f t="shared" si="7"/>
        <v>0.47544409613375133</v>
      </c>
      <c r="P143" s="1">
        <f t="shared" si="8"/>
        <v>0.52455590386624873</v>
      </c>
    </row>
    <row r="144" spans="1:16" ht="42" x14ac:dyDescent="0.2">
      <c r="A144" s="1" t="str">
        <f t="shared" si="6"/>
        <v>SECCION PRIMERA</v>
      </c>
      <c r="B144" s="2" t="s">
        <v>161</v>
      </c>
      <c r="C144" s="2" t="s">
        <v>20</v>
      </c>
      <c r="D144" s="2" t="s">
        <v>20</v>
      </c>
      <c r="E144" s="2" t="s">
        <v>18</v>
      </c>
      <c r="F144" s="1">
        <v>1357551</v>
      </c>
      <c r="H144" s="1">
        <v>1053130</v>
      </c>
      <c r="I144" s="1">
        <v>120015</v>
      </c>
      <c r="K144" s="1">
        <v>2854069</v>
      </c>
      <c r="L144" s="1">
        <v>3074968</v>
      </c>
      <c r="M144" s="1">
        <v>5131861</v>
      </c>
      <c r="N144" s="1">
        <f t="shared" si="7"/>
        <v>0.47565458298310237</v>
      </c>
      <c r="O144" s="1">
        <f>H144/K144</f>
        <v>0.36899248056021072</v>
      </c>
    </row>
    <row r="145" spans="1:15" ht="42" x14ac:dyDescent="0.2">
      <c r="A145" s="1" t="str">
        <f t="shared" si="6"/>
        <v>CAMPANA</v>
      </c>
      <c r="B145" s="2" t="s">
        <v>161</v>
      </c>
      <c r="C145" s="2" t="s">
        <v>20</v>
      </c>
      <c r="D145" s="2" t="s">
        <v>22</v>
      </c>
      <c r="E145" s="2" t="s">
        <v>162</v>
      </c>
      <c r="F145" s="1">
        <v>22875</v>
      </c>
      <c r="H145" s="1">
        <v>23487</v>
      </c>
      <c r="I145" s="1">
        <v>1749</v>
      </c>
      <c r="K145" s="1">
        <v>54968</v>
      </c>
      <c r="L145" s="1">
        <v>58657</v>
      </c>
      <c r="M145" s="1">
        <v>92131</v>
      </c>
      <c r="N145" s="1">
        <f t="shared" si="7"/>
        <v>0.41615121525251053</v>
      </c>
      <c r="O145" s="1">
        <f t="shared" ref="O145:O208" si="9">H145/K145</f>
        <v>0.42728496579828262</v>
      </c>
    </row>
    <row r="146" spans="1:15" ht="42" x14ac:dyDescent="0.2">
      <c r="A146" s="1" t="str">
        <f t="shared" si="6"/>
        <v>ESCOBAR</v>
      </c>
      <c r="B146" s="2" t="s">
        <v>161</v>
      </c>
      <c r="C146" s="2" t="s">
        <v>20</v>
      </c>
      <c r="D146" s="2" t="s">
        <v>23</v>
      </c>
      <c r="E146" s="2" t="s">
        <v>162</v>
      </c>
      <c r="F146" s="1">
        <v>65568</v>
      </c>
      <c r="H146" s="1">
        <v>43563</v>
      </c>
      <c r="I146" s="1">
        <v>4340</v>
      </c>
      <c r="K146" s="1">
        <v>127175</v>
      </c>
      <c r="L146" s="1">
        <v>133116</v>
      </c>
      <c r="M146" s="1">
        <v>219154</v>
      </c>
      <c r="N146" s="1">
        <f t="shared" si="7"/>
        <v>0.51557302929034798</v>
      </c>
      <c r="O146" s="1">
        <f t="shared" si="9"/>
        <v>0.3425437389424022</v>
      </c>
    </row>
    <row r="147" spans="1:15" ht="42" x14ac:dyDescent="0.2">
      <c r="A147" s="1" t="str">
        <f t="shared" si="6"/>
        <v>GENERAL LAS HERAS</v>
      </c>
      <c r="B147" s="2" t="s">
        <v>161</v>
      </c>
      <c r="C147" s="2" t="s">
        <v>20</v>
      </c>
      <c r="D147" s="2" t="s">
        <v>24</v>
      </c>
      <c r="E147" s="2" t="s">
        <v>162</v>
      </c>
      <c r="F147" s="1">
        <v>3343</v>
      </c>
      <c r="H147" s="1">
        <v>2184</v>
      </c>
      <c r="K147" s="1">
        <v>9900</v>
      </c>
      <c r="L147" s="1">
        <v>10454</v>
      </c>
      <c r="M147" s="1">
        <v>14919</v>
      </c>
      <c r="N147" s="1">
        <f t="shared" si="7"/>
        <v>0.33767676767676769</v>
      </c>
      <c r="O147" s="1">
        <f t="shared" si="9"/>
        <v>0.22060606060606061</v>
      </c>
    </row>
    <row r="148" spans="1:15" ht="51" x14ac:dyDescent="0.2">
      <c r="A148" s="1" t="str">
        <f t="shared" si="6"/>
        <v>GENERAL RODRIGUEZ</v>
      </c>
      <c r="B148" s="2" t="s">
        <v>161</v>
      </c>
      <c r="C148" s="2" t="s">
        <v>20</v>
      </c>
      <c r="D148" s="2" t="s">
        <v>25</v>
      </c>
      <c r="E148" s="2" t="s">
        <v>162</v>
      </c>
      <c r="F148" s="1">
        <v>24250</v>
      </c>
      <c r="H148" s="1">
        <v>20434</v>
      </c>
      <c r="I148" s="1">
        <v>1509</v>
      </c>
      <c r="K148" s="1">
        <v>56239</v>
      </c>
      <c r="L148" s="1">
        <v>59057</v>
      </c>
      <c r="M148" s="1">
        <v>112074</v>
      </c>
      <c r="N148" s="1">
        <f t="shared" si="7"/>
        <v>0.43119543377371577</v>
      </c>
      <c r="O148" s="1">
        <f t="shared" si="9"/>
        <v>0.36334216468998382</v>
      </c>
    </row>
    <row r="149" spans="1:15" ht="51" x14ac:dyDescent="0.2">
      <c r="A149" s="1" t="str">
        <f t="shared" si="6"/>
        <v>GENERAL SAN MARTIN</v>
      </c>
      <c r="B149" s="2" t="s">
        <v>161</v>
      </c>
      <c r="C149" s="2" t="s">
        <v>20</v>
      </c>
      <c r="D149" s="2" t="s">
        <v>26</v>
      </c>
      <c r="E149" s="2" t="s">
        <v>162</v>
      </c>
      <c r="F149" s="1">
        <v>119304</v>
      </c>
      <c r="H149" s="1">
        <v>82590</v>
      </c>
      <c r="I149" s="1">
        <v>8172</v>
      </c>
      <c r="K149" s="1">
        <v>227948</v>
      </c>
      <c r="L149" s="1">
        <v>237383</v>
      </c>
      <c r="M149" s="1">
        <v>435909</v>
      </c>
      <c r="N149" s="1">
        <f t="shared" si="7"/>
        <v>0.52338252583922651</v>
      </c>
      <c r="O149" s="1">
        <f t="shared" si="9"/>
        <v>0.36231947637180412</v>
      </c>
    </row>
    <row r="150" spans="1:15" ht="42" x14ac:dyDescent="0.2">
      <c r="A150" s="1" t="str">
        <f t="shared" si="6"/>
        <v>SAN MIGUEL</v>
      </c>
      <c r="B150" s="2" t="s">
        <v>161</v>
      </c>
      <c r="C150" s="2" t="s">
        <v>20</v>
      </c>
      <c r="D150" s="2" t="s">
        <v>27</v>
      </c>
      <c r="E150" s="2" t="s">
        <v>162</v>
      </c>
      <c r="F150" s="1">
        <v>50760</v>
      </c>
      <c r="H150" s="1">
        <v>29912</v>
      </c>
      <c r="I150" s="1">
        <v>5332</v>
      </c>
      <c r="K150" s="1">
        <v>155424</v>
      </c>
      <c r="L150" s="1">
        <v>163820</v>
      </c>
      <c r="M150" s="1">
        <v>268517</v>
      </c>
      <c r="N150" s="1">
        <f t="shared" si="7"/>
        <v>0.32659048795552809</v>
      </c>
      <c r="O150" s="1">
        <f t="shared" si="9"/>
        <v>0.19245418982911261</v>
      </c>
    </row>
    <row r="151" spans="1:15" ht="42" x14ac:dyDescent="0.2">
      <c r="A151" s="1" t="str">
        <f t="shared" si="6"/>
        <v>LUJAN</v>
      </c>
      <c r="B151" s="2" t="s">
        <v>161</v>
      </c>
      <c r="C151" s="2" t="s">
        <v>20</v>
      </c>
      <c r="D151" s="2" t="s">
        <v>28</v>
      </c>
      <c r="E151" s="2" t="s">
        <v>162</v>
      </c>
      <c r="F151" s="1">
        <v>32241</v>
      </c>
      <c r="H151" s="1">
        <v>18444</v>
      </c>
      <c r="I151" s="1">
        <v>1298</v>
      </c>
      <c r="K151" s="1">
        <v>58522</v>
      </c>
      <c r="L151" s="1">
        <v>62108</v>
      </c>
      <c r="M151" s="1">
        <v>100513</v>
      </c>
      <c r="N151" s="1">
        <f t="shared" si="7"/>
        <v>0.55092102115443764</v>
      </c>
      <c r="O151" s="1">
        <f t="shared" si="9"/>
        <v>0.31516352824578792</v>
      </c>
    </row>
    <row r="152" spans="1:15" ht="42" x14ac:dyDescent="0.2">
      <c r="A152" s="1" t="str">
        <f t="shared" si="6"/>
        <v>MARCOS PAZ</v>
      </c>
      <c r="B152" s="2" t="s">
        <v>161</v>
      </c>
      <c r="C152" s="2" t="s">
        <v>20</v>
      </c>
      <c r="D152" s="2" t="s">
        <v>29</v>
      </c>
      <c r="E152" s="2" t="s">
        <v>162</v>
      </c>
      <c r="F152" s="1">
        <v>15458</v>
      </c>
      <c r="H152" s="1">
        <v>8506</v>
      </c>
      <c r="I152" s="1">
        <v>970</v>
      </c>
      <c r="K152" s="1">
        <v>31027</v>
      </c>
      <c r="L152" s="1">
        <v>32828</v>
      </c>
      <c r="M152" s="1">
        <v>53841</v>
      </c>
      <c r="N152" s="1">
        <f t="shared" si="7"/>
        <v>0.49821123537564055</v>
      </c>
      <c r="O152" s="1">
        <f t="shared" si="9"/>
        <v>0.27414832242885229</v>
      </c>
    </row>
    <row r="153" spans="1:15" ht="42" x14ac:dyDescent="0.2">
      <c r="A153" s="1" t="str">
        <f t="shared" si="6"/>
        <v>MERCEDES</v>
      </c>
      <c r="B153" s="2" t="s">
        <v>161</v>
      </c>
      <c r="C153" s="2" t="s">
        <v>20</v>
      </c>
      <c r="D153" s="2" t="s">
        <v>30</v>
      </c>
      <c r="E153" s="2" t="s">
        <v>162</v>
      </c>
      <c r="F153" s="1">
        <v>14784</v>
      </c>
      <c r="H153" s="1">
        <v>12866</v>
      </c>
      <c r="I153" s="1">
        <v>976</v>
      </c>
      <c r="K153" s="1">
        <v>37149</v>
      </c>
      <c r="L153" s="1">
        <v>38981</v>
      </c>
      <c r="M153" s="1">
        <v>59885</v>
      </c>
      <c r="N153" s="1">
        <f t="shared" si="7"/>
        <v>0.39796495195025439</v>
      </c>
      <c r="O153" s="1">
        <f t="shared" si="9"/>
        <v>0.34633502920670811</v>
      </c>
    </row>
    <row r="154" spans="1:15" ht="42" x14ac:dyDescent="0.2">
      <c r="A154" s="1" t="str">
        <f t="shared" si="6"/>
        <v>MERLO</v>
      </c>
      <c r="B154" s="2" t="s">
        <v>161</v>
      </c>
      <c r="C154" s="2" t="s">
        <v>20</v>
      </c>
      <c r="D154" s="2" t="s">
        <v>31</v>
      </c>
      <c r="E154" s="2" t="s">
        <v>162</v>
      </c>
      <c r="F154" s="1">
        <v>113009</v>
      </c>
      <c r="H154" s="1">
        <v>74752</v>
      </c>
      <c r="I154" s="1">
        <v>16806</v>
      </c>
      <c r="K154" s="1">
        <v>255626</v>
      </c>
      <c r="L154" s="1">
        <v>266103</v>
      </c>
      <c r="M154" s="1">
        <v>464736</v>
      </c>
      <c r="N154" s="1">
        <f t="shared" si="7"/>
        <v>0.44208726811826654</v>
      </c>
      <c r="O154" s="1">
        <f t="shared" si="9"/>
        <v>0.29242721788863418</v>
      </c>
    </row>
    <row r="155" spans="1:15" ht="42" x14ac:dyDescent="0.2">
      <c r="A155" s="1" t="str">
        <f t="shared" si="6"/>
        <v>MORENO</v>
      </c>
      <c r="B155" s="2" t="s">
        <v>161</v>
      </c>
      <c r="C155" s="2" t="s">
        <v>20</v>
      </c>
      <c r="D155" s="2" t="s">
        <v>32</v>
      </c>
      <c r="E155" s="2" t="s">
        <v>162</v>
      </c>
      <c r="F155" s="1">
        <v>126106</v>
      </c>
      <c r="H155" s="1">
        <v>69586</v>
      </c>
      <c r="I155" s="1">
        <v>10361</v>
      </c>
      <c r="K155" s="1">
        <v>232561</v>
      </c>
      <c r="L155" s="1">
        <v>241071</v>
      </c>
      <c r="M155" s="1">
        <v>419320</v>
      </c>
      <c r="N155" s="1">
        <f t="shared" si="7"/>
        <v>0.54224913033569688</v>
      </c>
      <c r="O155" s="1">
        <f t="shared" si="9"/>
        <v>0.2992161196417284</v>
      </c>
    </row>
    <row r="156" spans="1:15" ht="42" x14ac:dyDescent="0.2">
      <c r="A156" s="1" t="str">
        <f t="shared" si="6"/>
        <v>MORON</v>
      </c>
      <c r="B156" s="2" t="s">
        <v>161</v>
      </c>
      <c r="C156" s="2" t="s">
        <v>20</v>
      </c>
      <c r="D156" s="2" t="s">
        <v>33</v>
      </c>
      <c r="E156" s="2" t="s">
        <v>162</v>
      </c>
      <c r="F156" s="1">
        <v>79378</v>
      </c>
      <c r="H156" s="1">
        <v>70860</v>
      </c>
      <c r="I156" s="1">
        <v>10511</v>
      </c>
      <c r="K156" s="1">
        <v>180430</v>
      </c>
      <c r="L156" s="1">
        <v>188848</v>
      </c>
      <c r="M156" s="1">
        <v>296279</v>
      </c>
      <c r="N156" s="1">
        <f t="shared" si="7"/>
        <v>0.43993792606551019</v>
      </c>
      <c r="O156" s="1">
        <f t="shared" si="9"/>
        <v>0.39272848195976279</v>
      </c>
    </row>
    <row r="157" spans="1:15" ht="42" x14ac:dyDescent="0.2">
      <c r="A157" s="1" t="str">
        <f t="shared" si="6"/>
        <v>NAVARRO</v>
      </c>
      <c r="B157" s="2" t="s">
        <v>161</v>
      </c>
      <c r="C157" s="2" t="s">
        <v>20</v>
      </c>
      <c r="D157" s="2" t="s">
        <v>34</v>
      </c>
      <c r="E157" s="2" t="s">
        <v>162</v>
      </c>
      <c r="F157" s="1">
        <v>2982</v>
      </c>
      <c r="H157" s="1">
        <v>2022</v>
      </c>
      <c r="K157" s="1">
        <v>9657</v>
      </c>
      <c r="L157" s="1">
        <v>10491</v>
      </c>
      <c r="M157" s="1">
        <v>16189</v>
      </c>
      <c r="N157" s="1">
        <f t="shared" si="7"/>
        <v>0.30879155017086052</v>
      </c>
      <c r="O157" s="1">
        <f t="shared" si="9"/>
        <v>0.20938179558869213</v>
      </c>
    </row>
    <row r="158" spans="1:15" ht="42" x14ac:dyDescent="0.2">
      <c r="A158" s="1" t="str">
        <f t="shared" si="6"/>
        <v>PILAR</v>
      </c>
      <c r="B158" s="2" t="s">
        <v>161</v>
      </c>
      <c r="C158" s="2" t="s">
        <v>20</v>
      </c>
      <c r="D158" s="2" t="s">
        <v>35</v>
      </c>
      <c r="E158" s="2" t="s">
        <v>162</v>
      </c>
      <c r="F158" s="1">
        <v>115269</v>
      </c>
      <c r="H158" s="1">
        <v>54949</v>
      </c>
      <c r="I158" s="1">
        <v>3270</v>
      </c>
      <c r="K158" s="1">
        <v>189827</v>
      </c>
      <c r="L158" s="1">
        <v>196212</v>
      </c>
      <c r="M158" s="1">
        <v>320932</v>
      </c>
      <c r="N158" s="1">
        <f t="shared" si="7"/>
        <v>0.60723184794576113</v>
      </c>
      <c r="O158" s="1">
        <f t="shared" si="9"/>
        <v>0.28946883214716557</v>
      </c>
    </row>
    <row r="159" spans="1:15" ht="42" x14ac:dyDescent="0.2">
      <c r="A159" s="1" t="str">
        <f t="shared" si="6"/>
        <v>SAN FERNANDO</v>
      </c>
      <c r="B159" s="2" t="s">
        <v>161</v>
      </c>
      <c r="C159" s="2" t="s">
        <v>20</v>
      </c>
      <c r="D159" s="2" t="s">
        <v>36</v>
      </c>
      <c r="E159" s="2" t="s">
        <v>162</v>
      </c>
      <c r="F159" s="1">
        <v>53712</v>
      </c>
      <c r="H159" s="1">
        <v>24259</v>
      </c>
      <c r="I159" s="1">
        <v>1771</v>
      </c>
      <c r="K159" s="1">
        <v>87452</v>
      </c>
      <c r="L159" s="1">
        <v>90509</v>
      </c>
      <c r="M159" s="1">
        <v>148607</v>
      </c>
      <c r="N159" s="1">
        <f t="shared" si="7"/>
        <v>0.6141883547546082</v>
      </c>
      <c r="O159" s="1">
        <f t="shared" si="9"/>
        <v>0.2773978868407812</v>
      </c>
    </row>
    <row r="160" spans="1:15" ht="42" x14ac:dyDescent="0.2">
      <c r="A160" s="1" t="str">
        <f t="shared" si="6"/>
        <v>SAN ISIDRO</v>
      </c>
      <c r="B160" s="2" t="s">
        <v>161</v>
      </c>
      <c r="C160" s="2" t="s">
        <v>20</v>
      </c>
      <c r="D160" s="2" t="s">
        <v>37</v>
      </c>
      <c r="E160" s="2" t="s">
        <v>162</v>
      </c>
      <c r="F160" s="1">
        <v>40475</v>
      </c>
      <c r="H160" s="1">
        <v>82818</v>
      </c>
      <c r="I160" s="1">
        <v>6123</v>
      </c>
      <c r="K160" s="1">
        <v>169568</v>
      </c>
      <c r="L160" s="1">
        <v>177738</v>
      </c>
      <c r="M160" s="1">
        <v>291011</v>
      </c>
      <c r="N160" s="1">
        <f t="shared" si="7"/>
        <v>0.23869480090583128</v>
      </c>
      <c r="O160" s="1">
        <f t="shared" si="9"/>
        <v>0.48840583128892245</v>
      </c>
    </row>
    <row r="161" spans="1:15" ht="42" x14ac:dyDescent="0.2">
      <c r="A161" s="1" t="str">
        <f t="shared" si="6"/>
        <v>SUIPACHA</v>
      </c>
      <c r="B161" s="2" t="s">
        <v>161</v>
      </c>
      <c r="C161" s="2" t="s">
        <v>20</v>
      </c>
      <c r="D161" s="2" t="s">
        <v>38</v>
      </c>
      <c r="E161" s="2" t="s">
        <v>162</v>
      </c>
      <c r="F161" s="1">
        <v>2610</v>
      </c>
      <c r="H161" s="1">
        <v>1119</v>
      </c>
      <c r="K161" s="1">
        <v>6353</v>
      </c>
      <c r="L161" s="1">
        <v>6905</v>
      </c>
      <c r="M161" s="1">
        <v>10205</v>
      </c>
      <c r="N161" s="1">
        <f t="shared" si="7"/>
        <v>0.41082952935620964</v>
      </c>
      <c r="O161" s="1">
        <f t="shared" si="9"/>
        <v>0.17613725798835195</v>
      </c>
    </row>
    <row r="162" spans="1:15" ht="42" x14ac:dyDescent="0.2">
      <c r="A162" s="1" t="str">
        <f t="shared" si="6"/>
        <v>TIGRE</v>
      </c>
      <c r="B162" s="2" t="s">
        <v>161</v>
      </c>
      <c r="C162" s="2" t="s">
        <v>20</v>
      </c>
      <c r="D162" s="2" t="s">
        <v>39</v>
      </c>
      <c r="E162" s="2" t="s">
        <v>162</v>
      </c>
      <c r="F162" s="1">
        <v>71737</v>
      </c>
      <c r="H162" s="1">
        <v>67836</v>
      </c>
      <c r="I162" s="1">
        <v>6794</v>
      </c>
      <c r="K162" s="1">
        <v>207495</v>
      </c>
      <c r="L162" s="1">
        <v>215518</v>
      </c>
      <c r="M162" s="1">
        <v>363425</v>
      </c>
      <c r="N162" s="1">
        <f t="shared" si="7"/>
        <v>0.34572881274247574</v>
      </c>
      <c r="O162" s="1">
        <f t="shared" si="9"/>
        <v>0.32692835971951134</v>
      </c>
    </row>
    <row r="163" spans="1:15" ht="42" x14ac:dyDescent="0.2">
      <c r="A163" s="1" t="str">
        <f t="shared" si="6"/>
        <v>TRES DE FEBRERO</v>
      </c>
      <c r="B163" s="2" t="s">
        <v>161</v>
      </c>
      <c r="C163" s="2" t="s">
        <v>20</v>
      </c>
      <c r="D163" s="2" t="s">
        <v>40</v>
      </c>
      <c r="E163" s="2" t="s">
        <v>162</v>
      </c>
      <c r="F163" s="1">
        <v>75998</v>
      </c>
      <c r="H163" s="1">
        <v>84425</v>
      </c>
      <c r="I163" s="1">
        <v>9300</v>
      </c>
      <c r="K163" s="1">
        <v>184514</v>
      </c>
      <c r="L163" s="1">
        <v>191831</v>
      </c>
      <c r="M163" s="1">
        <v>314443</v>
      </c>
      <c r="N163" s="1">
        <f t="shared" si="7"/>
        <v>0.41188202521217904</v>
      </c>
      <c r="O163" s="1">
        <f t="shared" si="9"/>
        <v>0.45755335638488137</v>
      </c>
    </row>
    <row r="164" spans="1:15" ht="42" x14ac:dyDescent="0.2">
      <c r="A164" s="1" t="str">
        <f t="shared" si="6"/>
        <v>VICENTE LOPEZ</v>
      </c>
      <c r="B164" s="2" t="s">
        <v>161</v>
      </c>
      <c r="C164" s="2" t="s">
        <v>20</v>
      </c>
      <c r="D164" s="2" t="s">
        <v>41</v>
      </c>
      <c r="E164" s="2" t="s">
        <v>162</v>
      </c>
      <c r="F164" s="1">
        <v>42819</v>
      </c>
      <c r="H164" s="1">
        <v>82842</v>
      </c>
      <c r="I164" s="1">
        <v>8241</v>
      </c>
      <c r="K164" s="1">
        <v>149600</v>
      </c>
      <c r="L164" s="1">
        <v>156955</v>
      </c>
      <c r="M164" s="1">
        <v>250313</v>
      </c>
      <c r="N164" s="1">
        <f t="shared" si="7"/>
        <v>0.28622326203208553</v>
      </c>
      <c r="O164" s="1">
        <f t="shared" si="9"/>
        <v>0.55375668449197857</v>
      </c>
    </row>
    <row r="165" spans="1:15" ht="42" x14ac:dyDescent="0.2">
      <c r="A165" s="1" t="str">
        <f t="shared" si="6"/>
        <v>JOSE C PAZ</v>
      </c>
      <c r="B165" s="2" t="s">
        <v>161</v>
      </c>
      <c r="C165" s="2" t="s">
        <v>20</v>
      </c>
      <c r="D165" s="2" t="s">
        <v>42</v>
      </c>
      <c r="E165" s="2" t="s">
        <v>162</v>
      </c>
      <c r="F165" s="1">
        <v>73006</v>
      </c>
      <c r="H165" s="1">
        <v>38583</v>
      </c>
      <c r="I165" s="1">
        <v>7946</v>
      </c>
      <c r="K165" s="1">
        <v>138359</v>
      </c>
      <c r="L165" s="1">
        <v>144389</v>
      </c>
      <c r="M165" s="1">
        <v>254085</v>
      </c>
      <c r="N165" s="1">
        <f t="shared" si="7"/>
        <v>0.52765631437058669</v>
      </c>
      <c r="O165" s="1">
        <f t="shared" si="9"/>
        <v>0.27886151244226975</v>
      </c>
    </row>
    <row r="166" spans="1:15" ht="51" x14ac:dyDescent="0.2">
      <c r="A166" s="1" t="str">
        <f t="shared" si="6"/>
        <v>MALVINAS ARGENTINAS</v>
      </c>
      <c r="B166" s="2" t="s">
        <v>161</v>
      </c>
      <c r="C166" s="2" t="s">
        <v>20</v>
      </c>
      <c r="D166" s="2" t="s">
        <v>43</v>
      </c>
      <c r="E166" s="2" t="s">
        <v>162</v>
      </c>
      <c r="F166" s="1">
        <v>122944</v>
      </c>
      <c r="H166" s="1">
        <v>41188</v>
      </c>
      <c r="I166" s="1">
        <v>4450</v>
      </c>
      <c r="K166" s="1">
        <v>180440</v>
      </c>
      <c r="L166" s="1">
        <v>185314</v>
      </c>
      <c r="M166" s="1">
        <v>298548</v>
      </c>
      <c r="N166" s="1">
        <f t="shared" si="7"/>
        <v>0.68135668366215918</v>
      </c>
      <c r="O166" s="1">
        <f t="shared" si="9"/>
        <v>0.22826424296164929</v>
      </c>
    </row>
    <row r="167" spans="1:15" ht="42" x14ac:dyDescent="0.2">
      <c r="A167" s="1" t="str">
        <f t="shared" si="6"/>
        <v>ITUZAINGO</v>
      </c>
      <c r="B167" s="2" t="s">
        <v>161</v>
      </c>
      <c r="C167" s="2" t="s">
        <v>20</v>
      </c>
      <c r="D167" s="2" t="s">
        <v>44</v>
      </c>
      <c r="E167" s="2" t="s">
        <v>162</v>
      </c>
      <c r="F167" s="1">
        <v>42455</v>
      </c>
      <c r="H167" s="1">
        <v>35473</v>
      </c>
      <c r="I167" s="1">
        <v>4898</v>
      </c>
      <c r="K167" s="1">
        <v>97289</v>
      </c>
      <c r="L167" s="1">
        <v>101843</v>
      </c>
      <c r="M167" s="1">
        <v>156035</v>
      </c>
      <c r="N167" s="1">
        <f t="shared" si="7"/>
        <v>0.43638026909517008</v>
      </c>
      <c r="O167" s="1">
        <f t="shared" si="9"/>
        <v>0.36461470464286816</v>
      </c>
    </row>
    <row r="168" spans="1:15" ht="42" x14ac:dyDescent="0.2">
      <c r="A168" s="1" t="str">
        <f t="shared" si="6"/>
        <v>HURLINGHAM</v>
      </c>
      <c r="B168" s="2" t="s">
        <v>161</v>
      </c>
      <c r="C168" s="2" t="s">
        <v>20</v>
      </c>
      <c r="D168" s="2" t="s">
        <v>45</v>
      </c>
      <c r="E168" s="2" t="s">
        <v>162</v>
      </c>
      <c r="F168" s="1">
        <v>43517</v>
      </c>
      <c r="H168" s="1">
        <v>29938</v>
      </c>
      <c r="I168" s="1">
        <v>3936</v>
      </c>
      <c r="K168" s="1">
        <v>100467</v>
      </c>
      <c r="L168" s="1">
        <v>104837</v>
      </c>
      <c r="M168" s="1">
        <v>170790</v>
      </c>
      <c r="N168" s="1">
        <f t="shared" si="7"/>
        <v>0.433147202564026</v>
      </c>
      <c r="O168" s="1">
        <f t="shared" si="9"/>
        <v>0.29798839419909023</v>
      </c>
    </row>
    <row r="169" spans="1:15" ht="42" x14ac:dyDescent="0.2">
      <c r="A169" s="1" t="str">
        <f t="shared" si="6"/>
        <v>SECCION SEGUNDA</v>
      </c>
      <c r="B169" s="2" t="s">
        <v>161</v>
      </c>
      <c r="C169" s="2" t="s">
        <v>46</v>
      </c>
      <c r="D169" s="2" t="s">
        <v>46</v>
      </c>
      <c r="E169" s="2" t="s">
        <v>21</v>
      </c>
      <c r="F169" s="1">
        <v>135222</v>
      </c>
      <c r="H169" s="1">
        <v>113716</v>
      </c>
      <c r="I169" s="1">
        <v>7049</v>
      </c>
      <c r="K169" s="1">
        <v>381087</v>
      </c>
      <c r="L169" s="1">
        <v>424165</v>
      </c>
      <c r="M169" s="1">
        <v>661721</v>
      </c>
      <c r="N169" s="1">
        <f t="shared" si="7"/>
        <v>0.3548323611143912</v>
      </c>
      <c r="O169" s="1">
        <f t="shared" si="9"/>
        <v>0.29839905323456323</v>
      </c>
    </row>
    <row r="170" spans="1:15" ht="42" x14ac:dyDescent="0.2">
      <c r="A170" s="1" t="str">
        <f t="shared" si="6"/>
        <v>BARADERO</v>
      </c>
      <c r="B170" s="2" t="s">
        <v>161</v>
      </c>
      <c r="C170" s="2" t="s">
        <v>46</v>
      </c>
      <c r="D170" s="2" t="s">
        <v>47</v>
      </c>
      <c r="E170" s="2" t="s">
        <v>162</v>
      </c>
      <c r="F170" s="1">
        <v>4858</v>
      </c>
      <c r="H170" s="1">
        <v>2814</v>
      </c>
      <c r="I170" s="1">
        <v>250</v>
      </c>
      <c r="K170" s="1">
        <v>19928</v>
      </c>
      <c r="L170" s="1">
        <v>21064</v>
      </c>
      <c r="M170" s="1">
        <v>32274</v>
      </c>
      <c r="N170" s="1">
        <f t="shared" si="7"/>
        <v>0.24377759935768767</v>
      </c>
      <c r="O170" s="1">
        <f t="shared" si="9"/>
        <v>0.14120835006021679</v>
      </c>
    </row>
    <row r="171" spans="1:15" ht="42" x14ac:dyDescent="0.2">
      <c r="A171" s="1" t="str">
        <f t="shared" si="6"/>
        <v>ARRECIFES</v>
      </c>
      <c r="B171" s="2" t="s">
        <v>161</v>
      </c>
      <c r="C171" s="2" t="s">
        <v>46</v>
      </c>
      <c r="D171" s="2" t="s">
        <v>163</v>
      </c>
      <c r="E171" s="2" t="s">
        <v>162</v>
      </c>
      <c r="F171" s="1">
        <v>7124</v>
      </c>
      <c r="H171" s="1">
        <v>4568</v>
      </c>
      <c r="K171" s="1">
        <v>16673</v>
      </c>
      <c r="L171" s="1">
        <v>17621</v>
      </c>
      <c r="M171" s="1">
        <v>26590</v>
      </c>
      <c r="N171" s="1">
        <f t="shared" si="7"/>
        <v>0.42727763449889045</v>
      </c>
      <c r="O171" s="1">
        <f t="shared" si="9"/>
        <v>0.2739758891621184</v>
      </c>
    </row>
    <row r="172" spans="1:15" ht="42" x14ac:dyDescent="0.2">
      <c r="A172" s="1" t="str">
        <f t="shared" si="6"/>
        <v>CAPITAN SARMIENTO</v>
      </c>
      <c r="B172" s="2" t="s">
        <v>161</v>
      </c>
      <c r="C172" s="2" t="s">
        <v>46</v>
      </c>
      <c r="D172" s="2" t="s">
        <v>49</v>
      </c>
      <c r="E172" s="2" t="s">
        <v>162</v>
      </c>
      <c r="F172" s="1">
        <v>3297</v>
      </c>
      <c r="H172" s="1">
        <v>3744</v>
      </c>
      <c r="K172" s="1">
        <v>8718</v>
      </c>
      <c r="L172" s="1">
        <v>9296</v>
      </c>
      <c r="M172" s="1">
        <v>14199</v>
      </c>
      <c r="N172" s="1">
        <f t="shared" si="7"/>
        <v>0.37818306951135583</v>
      </c>
      <c r="O172" s="1">
        <f t="shared" si="9"/>
        <v>0.42945629731589813</v>
      </c>
    </row>
    <row r="173" spans="1:15" ht="42" x14ac:dyDescent="0.2">
      <c r="A173" s="1" t="str">
        <f t="shared" si="6"/>
        <v>CARMEN DE ARECO</v>
      </c>
      <c r="B173" s="2" t="s">
        <v>161</v>
      </c>
      <c r="C173" s="2" t="s">
        <v>46</v>
      </c>
      <c r="D173" s="2" t="s">
        <v>50</v>
      </c>
      <c r="E173" s="2" t="s">
        <v>162</v>
      </c>
      <c r="F173" s="1">
        <v>3574</v>
      </c>
      <c r="H173" s="1">
        <v>3450</v>
      </c>
      <c r="K173" s="1">
        <v>9024</v>
      </c>
      <c r="L173" s="1">
        <v>9514</v>
      </c>
      <c r="M173" s="1">
        <v>14129</v>
      </c>
      <c r="N173" s="1">
        <f t="shared" si="7"/>
        <v>0.39605496453900707</v>
      </c>
      <c r="O173" s="1">
        <f t="shared" si="9"/>
        <v>0.38231382978723405</v>
      </c>
    </row>
    <row r="174" spans="1:15" ht="42" x14ac:dyDescent="0.2">
      <c r="A174" s="1" t="str">
        <f t="shared" si="6"/>
        <v>COLON</v>
      </c>
      <c r="B174" s="2" t="s">
        <v>161</v>
      </c>
      <c r="C174" s="2" t="s">
        <v>46</v>
      </c>
      <c r="D174" s="2" t="s">
        <v>51</v>
      </c>
      <c r="E174" s="2" t="s">
        <v>162</v>
      </c>
      <c r="F174" s="1">
        <v>4330</v>
      </c>
      <c r="H174" s="1">
        <v>2932</v>
      </c>
      <c r="I174" s="1">
        <v>314</v>
      </c>
      <c r="K174" s="1">
        <v>13214</v>
      </c>
      <c r="L174" s="1">
        <v>13928</v>
      </c>
      <c r="M174" s="1">
        <v>22587</v>
      </c>
      <c r="N174" s="1">
        <f t="shared" si="7"/>
        <v>0.32768276070833963</v>
      </c>
      <c r="O174" s="1">
        <f t="shared" si="9"/>
        <v>0.22188587861359166</v>
      </c>
    </row>
    <row r="175" spans="1:15" ht="51" x14ac:dyDescent="0.2">
      <c r="A175" s="1" t="str">
        <f t="shared" si="6"/>
        <v>EXALTACION DE LA CRUZ</v>
      </c>
      <c r="B175" s="2" t="s">
        <v>161</v>
      </c>
      <c r="C175" s="2" t="s">
        <v>46</v>
      </c>
      <c r="D175" s="2" t="s">
        <v>52</v>
      </c>
      <c r="E175" s="2" t="s">
        <v>162</v>
      </c>
      <c r="F175" s="1">
        <v>8705</v>
      </c>
      <c r="H175" s="1">
        <v>7395</v>
      </c>
      <c r="I175" s="1">
        <v>522</v>
      </c>
      <c r="K175" s="1">
        <v>20610</v>
      </c>
      <c r="L175" s="1">
        <v>22086</v>
      </c>
      <c r="M175" s="1">
        <v>36500</v>
      </c>
      <c r="N175" s="1">
        <f t="shared" si="7"/>
        <v>0.42236778262979136</v>
      </c>
      <c r="O175" s="1">
        <f t="shared" si="9"/>
        <v>0.35880640465793306</v>
      </c>
    </row>
    <row r="176" spans="1:15" ht="42" x14ac:dyDescent="0.2">
      <c r="A176" s="1" t="str">
        <f t="shared" si="6"/>
        <v>PERGAMINO</v>
      </c>
      <c r="B176" s="2" t="s">
        <v>161</v>
      </c>
      <c r="C176" s="2" t="s">
        <v>46</v>
      </c>
      <c r="D176" s="2" t="s">
        <v>53</v>
      </c>
      <c r="E176" s="2" t="s">
        <v>162</v>
      </c>
      <c r="F176" s="1">
        <v>16896</v>
      </c>
      <c r="H176" s="1">
        <v>13969</v>
      </c>
      <c r="I176" s="1">
        <v>837</v>
      </c>
      <c r="K176" s="1">
        <v>55800</v>
      </c>
      <c r="L176" s="1">
        <v>59515</v>
      </c>
      <c r="M176" s="1">
        <v>94181</v>
      </c>
      <c r="N176" s="1">
        <f t="shared" si="7"/>
        <v>0.30279569892473118</v>
      </c>
      <c r="O176" s="1">
        <f t="shared" si="9"/>
        <v>0.2503405017921147</v>
      </c>
    </row>
    <row r="177" spans="1:15" ht="42" x14ac:dyDescent="0.2">
      <c r="A177" s="1" t="str">
        <f t="shared" si="6"/>
        <v>RAMALLO</v>
      </c>
      <c r="B177" s="2" t="s">
        <v>161</v>
      </c>
      <c r="C177" s="2" t="s">
        <v>46</v>
      </c>
      <c r="D177" s="2" t="s">
        <v>54</v>
      </c>
      <c r="E177" s="2" t="s">
        <v>162</v>
      </c>
      <c r="F177" s="1">
        <v>8322</v>
      </c>
      <c r="H177" s="1">
        <v>2199</v>
      </c>
      <c r="K177" s="1">
        <v>21005</v>
      </c>
      <c r="L177" s="1">
        <v>22002</v>
      </c>
      <c r="M177" s="1">
        <v>31964</v>
      </c>
      <c r="N177" s="1">
        <f t="shared" si="7"/>
        <v>0.39619138300404666</v>
      </c>
      <c r="O177" s="1">
        <f t="shared" si="9"/>
        <v>0.10468935967626755</v>
      </c>
    </row>
    <row r="178" spans="1:15" ht="42" x14ac:dyDescent="0.2">
      <c r="A178" s="1" t="str">
        <f t="shared" si="6"/>
        <v>ROJAS</v>
      </c>
      <c r="B178" s="2" t="s">
        <v>161</v>
      </c>
      <c r="C178" s="2" t="s">
        <v>46</v>
      </c>
      <c r="D178" s="2" t="s">
        <v>55</v>
      </c>
      <c r="E178" s="2" t="s">
        <v>162</v>
      </c>
      <c r="F178" s="1">
        <v>4484</v>
      </c>
      <c r="H178" s="1">
        <v>3858</v>
      </c>
      <c r="K178" s="1">
        <v>9201</v>
      </c>
      <c r="L178" s="1">
        <v>13325</v>
      </c>
      <c r="M178" s="1">
        <v>21293</v>
      </c>
      <c r="N178" s="1">
        <f t="shared" si="7"/>
        <v>0.48733833278991412</v>
      </c>
      <c r="O178" s="1">
        <f t="shared" si="9"/>
        <v>0.41930224975546138</v>
      </c>
    </row>
    <row r="179" spans="1:15" ht="42" x14ac:dyDescent="0.2">
      <c r="A179" s="1" t="str">
        <f t="shared" si="6"/>
        <v>SALTO</v>
      </c>
      <c r="B179" s="2" t="s">
        <v>161</v>
      </c>
      <c r="C179" s="2" t="s">
        <v>46</v>
      </c>
      <c r="D179" s="2" t="s">
        <v>56</v>
      </c>
      <c r="E179" s="2" t="s">
        <v>162</v>
      </c>
      <c r="F179" s="1">
        <v>8183</v>
      </c>
      <c r="H179" s="1">
        <v>5522</v>
      </c>
      <c r="K179" s="1">
        <v>17887</v>
      </c>
      <c r="L179" s="1">
        <v>19454</v>
      </c>
      <c r="M179" s="1">
        <v>31406</v>
      </c>
      <c r="N179" s="1">
        <f t="shared" si="7"/>
        <v>0.45748308827640188</v>
      </c>
      <c r="O179" s="1">
        <f t="shared" si="9"/>
        <v>0.30871582713702689</v>
      </c>
    </row>
    <row r="180" spans="1:15" ht="51" x14ac:dyDescent="0.2">
      <c r="A180" s="1" t="str">
        <f t="shared" si="6"/>
        <v>SAN ANDRES DE GILES</v>
      </c>
      <c r="B180" s="2" t="s">
        <v>161</v>
      </c>
      <c r="C180" s="2" t="s">
        <v>46</v>
      </c>
      <c r="D180" s="2" t="s">
        <v>57</v>
      </c>
      <c r="E180" s="2" t="s">
        <v>162</v>
      </c>
      <c r="F180" s="1">
        <v>5778</v>
      </c>
      <c r="H180" s="1">
        <v>5309</v>
      </c>
      <c r="K180" s="1">
        <v>12517</v>
      </c>
      <c r="L180" s="1">
        <v>13980</v>
      </c>
      <c r="M180" s="1">
        <v>21799</v>
      </c>
      <c r="N180" s="1">
        <f t="shared" si="7"/>
        <v>0.46161220739793879</v>
      </c>
      <c r="O180" s="1">
        <f t="shared" si="9"/>
        <v>0.42414316529519852</v>
      </c>
    </row>
    <row r="181" spans="1:15" ht="51" x14ac:dyDescent="0.2">
      <c r="A181" s="1" t="str">
        <f t="shared" si="6"/>
        <v>SAN ANTONIO DE ARECO</v>
      </c>
      <c r="B181" s="2" t="s">
        <v>161</v>
      </c>
      <c r="C181" s="2" t="s">
        <v>46</v>
      </c>
      <c r="D181" s="2" t="s">
        <v>58</v>
      </c>
      <c r="E181" s="2" t="s">
        <v>162</v>
      </c>
      <c r="F181" s="1">
        <v>4234</v>
      </c>
      <c r="H181" s="1">
        <v>4567</v>
      </c>
      <c r="K181" s="1">
        <v>12786</v>
      </c>
      <c r="L181" s="1">
        <v>14162</v>
      </c>
      <c r="M181" s="1">
        <v>21747</v>
      </c>
      <c r="N181" s="1">
        <f t="shared" si="7"/>
        <v>0.33114343813546065</v>
      </c>
      <c r="O181" s="1">
        <f t="shared" si="9"/>
        <v>0.35718754888158921</v>
      </c>
    </row>
    <row r="182" spans="1:15" ht="42" x14ac:dyDescent="0.2">
      <c r="A182" s="1" t="str">
        <f t="shared" si="6"/>
        <v>SAN NICOLAS</v>
      </c>
      <c r="B182" s="2" t="s">
        <v>161</v>
      </c>
      <c r="C182" s="2" t="s">
        <v>46</v>
      </c>
      <c r="D182" s="2" t="s">
        <v>59</v>
      </c>
      <c r="E182" s="2" t="s">
        <v>162</v>
      </c>
      <c r="F182" s="1">
        <v>19127</v>
      </c>
      <c r="H182" s="1">
        <v>14775</v>
      </c>
      <c r="I182" s="1">
        <v>2115</v>
      </c>
      <c r="K182" s="1">
        <v>80004</v>
      </c>
      <c r="L182" s="1">
        <v>85987</v>
      </c>
      <c r="M182" s="1">
        <v>131143</v>
      </c>
      <c r="N182" s="1">
        <f t="shared" si="7"/>
        <v>0.23907554622268887</v>
      </c>
      <c r="O182" s="1">
        <f t="shared" si="9"/>
        <v>0.18467826608669566</v>
      </c>
    </row>
    <row r="183" spans="1:15" ht="42" x14ac:dyDescent="0.2">
      <c r="A183" s="1" t="str">
        <f t="shared" si="6"/>
        <v>SAN PEDRO</v>
      </c>
      <c r="B183" s="2" t="s">
        <v>161</v>
      </c>
      <c r="C183" s="2" t="s">
        <v>46</v>
      </c>
      <c r="D183" s="2" t="s">
        <v>60</v>
      </c>
      <c r="E183" s="2" t="s">
        <v>162</v>
      </c>
      <c r="F183" s="1">
        <v>9654</v>
      </c>
      <c r="H183" s="1">
        <v>13819</v>
      </c>
      <c r="I183" s="1">
        <v>390</v>
      </c>
      <c r="K183" s="1">
        <v>34299</v>
      </c>
      <c r="L183" s="1">
        <v>36268</v>
      </c>
      <c r="M183" s="1">
        <v>56032</v>
      </c>
      <c r="N183" s="1">
        <f t="shared" si="7"/>
        <v>0.28146593195136882</v>
      </c>
      <c r="O183" s="1">
        <f t="shared" si="9"/>
        <v>0.40289804367474269</v>
      </c>
    </row>
    <row r="184" spans="1:15" ht="42" x14ac:dyDescent="0.2">
      <c r="A184" s="1" t="str">
        <f t="shared" si="6"/>
        <v>ZARATE</v>
      </c>
      <c r="B184" s="2" t="s">
        <v>161</v>
      </c>
      <c r="C184" s="2" t="s">
        <v>46</v>
      </c>
      <c r="D184" s="2" t="s">
        <v>61</v>
      </c>
      <c r="E184" s="2" t="s">
        <v>162</v>
      </c>
      <c r="F184" s="1">
        <v>24408</v>
      </c>
      <c r="H184" s="1">
        <v>20234</v>
      </c>
      <c r="I184" s="1">
        <v>1699</v>
      </c>
      <c r="K184" s="1">
        <v>61411</v>
      </c>
      <c r="L184" s="1">
        <v>65963</v>
      </c>
      <c r="M184" s="1">
        <v>105872</v>
      </c>
      <c r="N184" s="1">
        <f t="shared" si="7"/>
        <v>0.39745322499226521</v>
      </c>
      <c r="O184" s="1">
        <f t="shared" si="9"/>
        <v>0.32948494569376824</v>
      </c>
    </row>
    <row r="185" spans="1:15" ht="42" x14ac:dyDescent="0.2">
      <c r="A185" s="1" t="str">
        <f t="shared" si="6"/>
        <v>SECCION TERCERA</v>
      </c>
      <c r="B185" s="2" t="s">
        <v>161</v>
      </c>
      <c r="C185" s="2" t="s">
        <v>62</v>
      </c>
      <c r="D185" s="2" t="s">
        <v>62</v>
      </c>
      <c r="E185" s="2" t="s">
        <v>21</v>
      </c>
      <c r="F185" s="1">
        <v>1632123</v>
      </c>
      <c r="H185" s="1">
        <v>862643</v>
      </c>
      <c r="I185" s="1">
        <v>170921</v>
      </c>
      <c r="K185" s="1">
        <v>3021418</v>
      </c>
      <c r="L185" s="1">
        <v>3138920</v>
      </c>
      <c r="M185" s="1">
        <v>5101177</v>
      </c>
      <c r="N185" s="1">
        <f t="shared" si="7"/>
        <v>0.54018444319852466</v>
      </c>
      <c r="O185" s="1">
        <f t="shared" si="9"/>
        <v>0.28550932045814248</v>
      </c>
    </row>
    <row r="186" spans="1:15" ht="42" x14ac:dyDescent="0.2">
      <c r="A186" s="1" t="str">
        <f t="shared" si="6"/>
        <v>ALMIRANTE BROWN</v>
      </c>
      <c r="B186" s="2" t="s">
        <v>161</v>
      </c>
      <c r="C186" s="2" t="s">
        <v>62</v>
      </c>
      <c r="D186" s="2" t="s">
        <v>63</v>
      </c>
      <c r="E186" s="2" t="s">
        <v>162</v>
      </c>
      <c r="F186" s="1">
        <v>162821</v>
      </c>
      <c r="H186" s="1">
        <v>85267</v>
      </c>
      <c r="I186" s="1">
        <v>17354</v>
      </c>
      <c r="K186" s="1">
        <v>300559</v>
      </c>
      <c r="L186" s="1">
        <v>309813</v>
      </c>
      <c r="M186" s="1">
        <v>491268</v>
      </c>
      <c r="N186" s="1">
        <f t="shared" si="7"/>
        <v>0.54172724822746943</v>
      </c>
      <c r="O186" s="1">
        <f t="shared" si="9"/>
        <v>0.28369471551342662</v>
      </c>
    </row>
    <row r="187" spans="1:15" ht="42" x14ac:dyDescent="0.2">
      <c r="A187" s="1" t="str">
        <f t="shared" si="6"/>
        <v>AVELLANEDA</v>
      </c>
      <c r="B187" s="2" t="s">
        <v>161</v>
      </c>
      <c r="C187" s="2" t="s">
        <v>62</v>
      </c>
      <c r="D187" s="2" t="s">
        <v>64</v>
      </c>
      <c r="E187" s="2" t="s">
        <v>162</v>
      </c>
      <c r="F187" s="1">
        <v>128738</v>
      </c>
      <c r="H187" s="1">
        <v>53246</v>
      </c>
      <c r="I187" s="1">
        <v>6062</v>
      </c>
      <c r="K187" s="1">
        <v>199832</v>
      </c>
      <c r="L187" s="1">
        <v>205930</v>
      </c>
      <c r="M187" s="1">
        <v>325434</v>
      </c>
      <c r="N187" s="1">
        <f t="shared" si="7"/>
        <v>0.64423115416950238</v>
      </c>
      <c r="O187" s="1">
        <f t="shared" si="9"/>
        <v>0.26645382120981626</v>
      </c>
    </row>
    <row r="188" spans="1:15" ht="42" x14ac:dyDescent="0.2">
      <c r="A188" s="1" t="str">
        <f t="shared" si="6"/>
        <v>BERAZATEGUI</v>
      </c>
      <c r="B188" s="2" t="s">
        <v>161</v>
      </c>
      <c r="C188" s="2" t="s">
        <v>62</v>
      </c>
      <c r="D188" s="2" t="s">
        <v>65</v>
      </c>
      <c r="E188" s="2" t="s">
        <v>162</v>
      </c>
      <c r="F188" s="1">
        <v>123139</v>
      </c>
      <c r="H188" s="1">
        <v>48520</v>
      </c>
      <c r="I188" s="1">
        <v>6173</v>
      </c>
      <c r="K188" s="1">
        <v>191460</v>
      </c>
      <c r="L188" s="1">
        <v>197812</v>
      </c>
      <c r="M188" s="1">
        <v>294824</v>
      </c>
      <c r="N188" s="1">
        <f t="shared" si="7"/>
        <v>0.64315783975765173</v>
      </c>
      <c r="O188" s="1">
        <f t="shared" si="9"/>
        <v>0.25342108012117415</v>
      </c>
    </row>
    <row r="189" spans="1:15" ht="42" x14ac:dyDescent="0.2">
      <c r="A189" s="1" t="str">
        <f t="shared" si="6"/>
        <v>BERISSO</v>
      </c>
      <c r="B189" s="2" t="s">
        <v>161</v>
      </c>
      <c r="C189" s="2" t="s">
        <v>62</v>
      </c>
      <c r="D189" s="2" t="s">
        <v>66</v>
      </c>
      <c r="E189" s="2" t="s">
        <v>162</v>
      </c>
      <c r="F189" s="1">
        <v>25936</v>
      </c>
      <c r="H189" s="1">
        <v>17152</v>
      </c>
      <c r="I189" s="1">
        <v>5540</v>
      </c>
      <c r="K189" s="1">
        <v>55322</v>
      </c>
      <c r="L189" s="1">
        <v>59876</v>
      </c>
      <c r="M189" s="1">
        <v>88947</v>
      </c>
      <c r="N189" s="1">
        <f t="shared" si="7"/>
        <v>0.46881891471747228</v>
      </c>
      <c r="O189" s="1">
        <f t="shared" si="9"/>
        <v>0.31003940566140054</v>
      </c>
    </row>
    <row r="190" spans="1:15" ht="42" x14ac:dyDescent="0.2">
      <c r="A190" s="1" t="str">
        <f t="shared" si="6"/>
        <v>BRANDSEN</v>
      </c>
      <c r="B190" s="2" t="s">
        <v>161</v>
      </c>
      <c r="C190" s="2" t="s">
        <v>62</v>
      </c>
      <c r="D190" s="2" t="s">
        <v>67</v>
      </c>
      <c r="E190" s="2" t="s">
        <v>162</v>
      </c>
      <c r="F190" s="1">
        <v>6820</v>
      </c>
      <c r="H190" s="1">
        <v>4580</v>
      </c>
      <c r="I190" s="1">
        <v>501</v>
      </c>
      <c r="K190" s="1">
        <v>17251</v>
      </c>
      <c r="L190" s="1">
        <v>18511</v>
      </c>
      <c r="M190" s="1">
        <v>28865</v>
      </c>
      <c r="N190" s="1">
        <f t="shared" si="7"/>
        <v>0.39533940061445716</v>
      </c>
      <c r="O190" s="1">
        <f t="shared" si="9"/>
        <v>0.26549185554460614</v>
      </c>
    </row>
    <row r="191" spans="1:15" ht="42" x14ac:dyDescent="0.2">
      <c r="A191" s="1" t="str">
        <f t="shared" si="6"/>
        <v>CANUELAS</v>
      </c>
      <c r="B191" s="2" t="s">
        <v>161</v>
      </c>
      <c r="C191" s="2" t="s">
        <v>62</v>
      </c>
      <c r="D191" s="2" t="s">
        <v>68</v>
      </c>
      <c r="E191" s="2" t="s">
        <v>162</v>
      </c>
      <c r="F191" s="1">
        <v>15919</v>
      </c>
      <c r="H191" s="1">
        <v>10908</v>
      </c>
      <c r="I191" s="1">
        <v>1802</v>
      </c>
      <c r="K191" s="1">
        <v>34772</v>
      </c>
      <c r="L191" s="1">
        <v>37122</v>
      </c>
      <c r="M191" s="1">
        <v>58109</v>
      </c>
      <c r="N191" s="1">
        <f t="shared" si="7"/>
        <v>0.45781088231910733</v>
      </c>
      <c r="O191" s="1">
        <f t="shared" si="9"/>
        <v>0.31370067870700563</v>
      </c>
    </row>
    <row r="192" spans="1:15" ht="42" x14ac:dyDescent="0.2">
      <c r="A192" s="1" t="str">
        <f t="shared" si="6"/>
        <v>ENSENADA</v>
      </c>
      <c r="B192" s="2" t="s">
        <v>161</v>
      </c>
      <c r="C192" s="2" t="s">
        <v>62</v>
      </c>
      <c r="D192" s="2" t="s">
        <v>69</v>
      </c>
      <c r="E192" s="2" t="s">
        <v>162</v>
      </c>
      <c r="F192" s="1">
        <v>27304</v>
      </c>
      <c r="H192" s="1">
        <v>9394</v>
      </c>
      <c r="I192" s="1">
        <v>1620</v>
      </c>
      <c r="K192" s="1">
        <v>39687</v>
      </c>
      <c r="L192" s="1">
        <v>41788</v>
      </c>
      <c r="M192" s="1">
        <v>62678</v>
      </c>
      <c r="N192" s="1">
        <f t="shared" si="7"/>
        <v>0.687983470657898</v>
      </c>
      <c r="O192" s="1">
        <f t="shared" si="9"/>
        <v>0.23670219467331871</v>
      </c>
    </row>
    <row r="193" spans="1:15" ht="51" x14ac:dyDescent="0.2">
      <c r="A193" s="1" t="str">
        <f t="shared" si="6"/>
        <v>ESTEBAN ECHEVERRIA</v>
      </c>
      <c r="B193" s="2" t="s">
        <v>161</v>
      </c>
      <c r="C193" s="2" t="s">
        <v>62</v>
      </c>
      <c r="D193" s="2" t="s">
        <v>70</v>
      </c>
      <c r="E193" s="2" t="s">
        <v>162</v>
      </c>
      <c r="F193" s="1">
        <v>78419</v>
      </c>
      <c r="H193" s="1">
        <v>44282</v>
      </c>
      <c r="I193" s="1">
        <v>7406</v>
      </c>
      <c r="K193" s="1">
        <v>162841</v>
      </c>
      <c r="L193" s="1">
        <v>168960</v>
      </c>
      <c r="M193" s="1">
        <v>279839</v>
      </c>
      <c r="N193" s="1">
        <f t="shared" si="7"/>
        <v>0.48156790980158559</v>
      </c>
      <c r="O193" s="1">
        <f t="shared" si="9"/>
        <v>0.27193397240252765</v>
      </c>
    </row>
    <row r="194" spans="1:15" ht="42" x14ac:dyDescent="0.2">
      <c r="A194" s="1" t="str">
        <f t="shared" si="6"/>
        <v>FLORENCIO VARELA</v>
      </c>
      <c r="B194" s="2" t="s">
        <v>161</v>
      </c>
      <c r="C194" s="2" t="s">
        <v>62</v>
      </c>
      <c r="D194" s="2" t="s">
        <v>71</v>
      </c>
      <c r="E194" s="2" t="s">
        <v>162</v>
      </c>
      <c r="F194" s="1">
        <v>115411</v>
      </c>
      <c r="H194" s="1">
        <v>49035</v>
      </c>
      <c r="I194" s="1">
        <v>12588</v>
      </c>
      <c r="K194" s="1">
        <v>205777</v>
      </c>
      <c r="L194" s="1">
        <v>214078</v>
      </c>
      <c r="M194" s="1">
        <v>370008</v>
      </c>
      <c r="N194" s="1">
        <f t="shared" si="7"/>
        <v>0.56085471165387779</v>
      </c>
      <c r="O194" s="1">
        <f t="shared" si="9"/>
        <v>0.23829193738853224</v>
      </c>
    </row>
    <row r="195" spans="1:15" ht="42" x14ac:dyDescent="0.2">
      <c r="A195" s="1" t="str">
        <f t="shared" ref="A195:A258" si="10">D195</f>
        <v>LA MATANZA</v>
      </c>
      <c r="B195" s="2" t="s">
        <v>161</v>
      </c>
      <c r="C195" s="2" t="s">
        <v>62</v>
      </c>
      <c r="D195" s="2" t="s">
        <v>72</v>
      </c>
      <c r="E195" s="2" t="s">
        <v>162</v>
      </c>
      <c r="F195" s="1">
        <v>359389</v>
      </c>
      <c r="H195" s="1">
        <v>196559</v>
      </c>
      <c r="I195" s="1">
        <v>52815</v>
      </c>
      <c r="K195" s="1">
        <v>679874</v>
      </c>
      <c r="L195" s="1">
        <v>701641</v>
      </c>
      <c r="M195" s="1">
        <v>1200368</v>
      </c>
      <c r="N195" s="1">
        <f t="shared" ref="N195:N258" si="11">F195/K195</f>
        <v>0.52861118383700512</v>
      </c>
      <c r="O195" s="1">
        <f t="shared" si="9"/>
        <v>0.28911092349464756</v>
      </c>
    </row>
    <row r="196" spans="1:15" ht="42" x14ac:dyDescent="0.2">
      <c r="A196" s="1" t="str">
        <f t="shared" si="10"/>
        <v>LANUS</v>
      </c>
      <c r="B196" s="2" t="s">
        <v>161</v>
      </c>
      <c r="C196" s="2" t="s">
        <v>62</v>
      </c>
      <c r="D196" s="2" t="s">
        <v>73</v>
      </c>
      <c r="E196" s="2" t="s">
        <v>162</v>
      </c>
      <c r="F196" s="1">
        <v>120457</v>
      </c>
      <c r="H196" s="1">
        <v>78467</v>
      </c>
      <c r="I196" s="1">
        <v>15019</v>
      </c>
      <c r="K196" s="1">
        <v>244051</v>
      </c>
      <c r="L196" s="1">
        <v>252225</v>
      </c>
      <c r="M196" s="1">
        <v>403721</v>
      </c>
      <c r="N196" s="1">
        <f t="shared" si="11"/>
        <v>0.49357306464632394</v>
      </c>
      <c r="O196" s="1">
        <f t="shared" si="9"/>
        <v>0.32151886286063158</v>
      </c>
    </row>
    <row r="197" spans="1:15" ht="42" x14ac:dyDescent="0.2">
      <c r="A197" s="1" t="str">
        <f t="shared" si="10"/>
        <v>LOBOS</v>
      </c>
      <c r="B197" s="2" t="s">
        <v>161</v>
      </c>
      <c r="C197" s="2" t="s">
        <v>62</v>
      </c>
      <c r="D197" s="2" t="s">
        <v>74</v>
      </c>
      <c r="E197" s="2" t="s">
        <v>162</v>
      </c>
      <c r="F197" s="1">
        <v>8396</v>
      </c>
      <c r="H197" s="1">
        <v>6508</v>
      </c>
      <c r="I197" s="1">
        <v>410</v>
      </c>
      <c r="K197" s="1">
        <v>20884</v>
      </c>
      <c r="L197" s="1">
        <v>22078</v>
      </c>
      <c r="M197" s="1">
        <v>34203</v>
      </c>
      <c r="N197" s="1">
        <f t="shared" si="11"/>
        <v>0.4020302624018387</v>
      </c>
      <c r="O197" s="1">
        <f t="shared" si="9"/>
        <v>0.31162612526335953</v>
      </c>
    </row>
    <row r="198" spans="1:15" ht="42" x14ac:dyDescent="0.2">
      <c r="A198" s="1" t="str">
        <f t="shared" si="10"/>
        <v>LOMAS DE ZAMORA</v>
      </c>
      <c r="B198" s="2" t="s">
        <v>161</v>
      </c>
      <c r="C198" s="2" t="s">
        <v>62</v>
      </c>
      <c r="D198" s="2" t="s">
        <v>75</v>
      </c>
      <c r="E198" s="2" t="s">
        <v>162</v>
      </c>
      <c r="F198" s="1">
        <v>201508</v>
      </c>
      <c r="H198" s="1">
        <v>98834</v>
      </c>
      <c r="I198" s="1">
        <v>17303</v>
      </c>
      <c r="K198" s="1">
        <v>357242</v>
      </c>
      <c r="L198" s="1">
        <v>367809</v>
      </c>
      <c r="M198" s="1">
        <v>585956</v>
      </c>
      <c r="N198" s="1">
        <f t="shared" si="11"/>
        <v>0.56406581532966449</v>
      </c>
      <c r="O198" s="1">
        <f t="shared" si="9"/>
        <v>0.27665839962826322</v>
      </c>
    </row>
    <row r="199" spans="1:15" ht="42" x14ac:dyDescent="0.2">
      <c r="A199" s="1" t="str">
        <f t="shared" si="10"/>
        <v>MAGDALENA</v>
      </c>
      <c r="B199" s="2" t="s">
        <v>161</v>
      </c>
      <c r="C199" s="2" t="s">
        <v>62</v>
      </c>
      <c r="D199" s="2" t="s">
        <v>76</v>
      </c>
      <c r="E199" s="2" t="s">
        <v>162</v>
      </c>
      <c r="F199" s="1">
        <v>2645</v>
      </c>
      <c r="H199" s="1">
        <v>1893</v>
      </c>
      <c r="K199" s="1">
        <v>10211</v>
      </c>
      <c r="L199" s="1">
        <v>11072</v>
      </c>
      <c r="M199" s="1">
        <v>16758</v>
      </c>
      <c r="N199" s="1">
        <f t="shared" si="11"/>
        <v>0.25903437469395751</v>
      </c>
      <c r="O199" s="1">
        <f t="shared" si="9"/>
        <v>0.18538830672803838</v>
      </c>
    </row>
    <row r="200" spans="1:15" ht="42" x14ac:dyDescent="0.2">
      <c r="A200" s="1" t="str">
        <f t="shared" si="10"/>
        <v>MAGDALENA</v>
      </c>
      <c r="B200" s="2" t="s">
        <v>161</v>
      </c>
      <c r="C200" s="2" t="s">
        <v>62</v>
      </c>
      <c r="D200" s="2" t="s">
        <v>76</v>
      </c>
      <c r="E200" s="2" t="s">
        <v>162</v>
      </c>
      <c r="F200" s="1">
        <v>153458</v>
      </c>
      <c r="H200" s="1">
        <v>99280</v>
      </c>
      <c r="I200" s="1">
        <v>19845</v>
      </c>
      <c r="K200" s="1">
        <v>316947</v>
      </c>
      <c r="L200" s="1">
        <v>326508</v>
      </c>
      <c r="M200" s="1">
        <v>525087</v>
      </c>
      <c r="N200" s="1">
        <f t="shared" si="11"/>
        <v>0.48417558771655828</v>
      </c>
      <c r="O200" s="1">
        <f t="shared" si="9"/>
        <v>0.31323849097798684</v>
      </c>
    </row>
    <row r="201" spans="1:15" ht="42" x14ac:dyDescent="0.2">
      <c r="A201" s="1" t="str">
        <f t="shared" si="10"/>
        <v>SAN VICENTE</v>
      </c>
      <c r="B201" s="2" t="s">
        <v>161</v>
      </c>
      <c r="C201" s="2" t="s">
        <v>62</v>
      </c>
      <c r="D201" s="2" t="s">
        <v>78</v>
      </c>
      <c r="E201" s="2" t="s">
        <v>162</v>
      </c>
      <c r="F201" s="1">
        <v>28827</v>
      </c>
      <c r="H201" s="1">
        <v>9850</v>
      </c>
      <c r="I201" s="1">
        <v>936</v>
      </c>
      <c r="K201" s="1">
        <v>43271</v>
      </c>
      <c r="L201" s="1">
        <v>45400</v>
      </c>
      <c r="M201" s="1">
        <v>73914</v>
      </c>
      <c r="N201" s="1">
        <f t="shared" si="11"/>
        <v>0.66619675995470407</v>
      </c>
      <c r="O201" s="1">
        <f t="shared" si="9"/>
        <v>0.22763513669663285</v>
      </c>
    </row>
    <row r="202" spans="1:15" ht="42" x14ac:dyDescent="0.2">
      <c r="A202" s="1" t="str">
        <f t="shared" si="10"/>
        <v>PRESIDENTE PERON</v>
      </c>
      <c r="B202" s="2" t="s">
        <v>161</v>
      </c>
      <c r="C202" s="2" t="s">
        <v>62</v>
      </c>
      <c r="D202" s="2" t="s">
        <v>79</v>
      </c>
      <c r="E202" s="2" t="s">
        <v>162</v>
      </c>
      <c r="F202" s="1">
        <v>18744</v>
      </c>
      <c r="H202" s="1">
        <v>11003</v>
      </c>
      <c r="I202" s="1">
        <v>2620</v>
      </c>
      <c r="K202" s="1">
        <v>45962</v>
      </c>
      <c r="L202" s="1">
        <v>48783</v>
      </c>
      <c r="M202" s="1">
        <v>84687</v>
      </c>
      <c r="N202" s="1">
        <f t="shared" si="11"/>
        <v>0.40781515164701276</v>
      </c>
      <c r="O202" s="1">
        <f t="shared" si="9"/>
        <v>0.23939341194900135</v>
      </c>
    </row>
    <row r="203" spans="1:15" ht="42" x14ac:dyDescent="0.2">
      <c r="A203" s="1" t="str">
        <f t="shared" si="10"/>
        <v>PUNTA INDIO</v>
      </c>
      <c r="B203" s="2" t="s">
        <v>161</v>
      </c>
      <c r="C203" s="2" t="s">
        <v>62</v>
      </c>
      <c r="D203" s="2" t="s">
        <v>80</v>
      </c>
      <c r="E203" s="2" t="s">
        <v>162</v>
      </c>
      <c r="F203" s="1">
        <v>2551</v>
      </c>
      <c r="H203" s="1">
        <v>1616</v>
      </c>
      <c r="K203" s="1">
        <v>6294</v>
      </c>
      <c r="L203" s="1">
        <v>6879</v>
      </c>
      <c r="M203" s="1">
        <v>10804</v>
      </c>
      <c r="N203" s="1">
        <f t="shared" si="11"/>
        <v>0.40530664124563076</v>
      </c>
      <c r="O203" s="1">
        <f t="shared" si="9"/>
        <v>0.25675246266285351</v>
      </c>
    </row>
    <row r="204" spans="1:15" ht="42" x14ac:dyDescent="0.2">
      <c r="A204" s="1" t="str">
        <f t="shared" si="10"/>
        <v>EZEIZA</v>
      </c>
      <c r="B204" s="2" t="s">
        <v>161</v>
      </c>
      <c r="C204" s="2" t="s">
        <v>62</v>
      </c>
      <c r="D204" s="2" t="s">
        <v>81</v>
      </c>
      <c r="E204" s="2" t="s">
        <v>162</v>
      </c>
      <c r="F204" s="1">
        <v>62639</v>
      </c>
      <c r="H204" s="1">
        <v>24402</v>
      </c>
      <c r="I204" s="1">
        <v>3353</v>
      </c>
      <c r="K204" s="1">
        <v>98722</v>
      </c>
      <c r="L204" s="1">
        <v>102635</v>
      </c>
      <c r="M204" s="1">
        <v>165707</v>
      </c>
      <c r="N204" s="1">
        <f t="shared" si="11"/>
        <v>0.6344988958894674</v>
      </c>
      <c r="O204" s="1">
        <f t="shared" si="9"/>
        <v>0.24717894694191772</v>
      </c>
    </row>
    <row r="205" spans="1:15" ht="42" x14ac:dyDescent="0.2">
      <c r="A205" s="1" t="str">
        <f t="shared" si="10"/>
        <v>SECCION CUARTA</v>
      </c>
      <c r="B205" s="2" t="s">
        <v>161</v>
      </c>
      <c r="C205" s="2" t="s">
        <v>82</v>
      </c>
      <c r="D205" s="2" t="s">
        <v>82</v>
      </c>
      <c r="E205" s="2" t="s">
        <v>18</v>
      </c>
      <c r="F205" s="1">
        <v>127358</v>
      </c>
      <c r="H205" s="1">
        <v>97795</v>
      </c>
      <c r="I205" s="1">
        <v>3964</v>
      </c>
      <c r="K205" s="1">
        <v>315703</v>
      </c>
      <c r="L205" s="1">
        <v>344602</v>
      </c>
      <c r="M205" s="1">
        <v>547677</v>
      </c>
      <c r="N205" s="1">
        <f t="shared" si="11"/>
        <v>0.40341080065758006</v>
      </c>
      <c r="O205" s="1">
        <f t="shared" si="9"/>
        <v>0.30976899174223876</v>
      </c>
    </row>
    <row r="206" spans="1:15" ht="42" x14ac:dyDescent="0.2">
      <c r="A206" s="1" t="str">
        <f t="shared" si="10"/>
        <v>ALBERTI</v>
      </c>
      <c r="B206" s="2" t="s">
        <v>161</v>
      </c>
      <c r="C206" s="2" t="s">
        <v>82</v>
      </c>
      <c r="D206" s="2" t="s">
        <v>83</v>
      </c>
      <c r="E206" s="2" t="s">
        <v>162</v>
      </c>
      <c r="F206" s="1">
        <v>3173</v>
      </c>
      <c r="H206" s="1">
        <v>1415</v>
      </c>
      <c r="K206" s="1">
        <v>6263</v>
      </c>
      <c r="L206" s="1">
        <v>6648</v>
      </c>
      <c r="M206" s="1">
        <v>9964</v>
      </c>
      <c r="N206" s="1">
        <f t="shared" si="11"/>
        <v>0.50662621746766723</v>
      </c>
      <c r="O206" s="1">
        <f t="shared" si="9"/>
        <v>0.22593006546383523</v>
      </c>
    </row>
    <row r="207" spans="1:15" ht="42" x14ac:dyDescent="0.2">
      <c r="A207" s="1" t="str">
        <f t="shared" si="10"/>
        <v>BRAGADO</v>
      </c>
      <c r="B207" s="2" t="s">
        <v>161</v>
      </c>
      <c r="C207" s="2" t="s">
        <v>82</v>
      </c>
      <c r="D207" s="2" t="s">
        <v>84</v>
      </c>
      <c r="E207" s="2" t="s">
        <v>162</v>
      </c>
      <c r="F207" s="1">
        <v>9628</v>
      </c>
      <c r="H207" s="1">
        <v>8631</v>
      </c>
      <c r="I207" s="1">
        <v>427</v>
      </c>
      <c r="K207" s="1">
        <v>21843</v>
      </c>
      <c r="L207" s="1">
        <v>23997</v>
      </c>
      <c r="M207" s="1">
        <v>38019</v>
      </c>
      <c r="N207" s="1">
        <f t="shared" si="11"/>
        <v>0.44078194387217873</v>
      </c>
      <c r="O207" s="1">
        <f t="shared" si="9"/>
        <v>0.39513803049031726</v>
      </c>
    </row>
    <row r="208" spans="1:15" ht="42" x14ac:dyDescent="0.2">
      <c r="A208" s="1" t="str">
        <f t="shared" si="10"/>
        <v>CARLOS CASARES</v>
      </c>
      <c r="B208" s="2" t="s">
        <v>161</v>
      </c>
      <c r="C208" s="2" t="s">
        <v>82</v>
      </c>
      <c r="D208" s="2" t="s">
        <v>85</v>
      </c>
      <c r="E208" s="2" t="s">
        <v>162</v>
      </c>
      <c r="F208" s="1">
        <v>4719</v>
      </c>
      <c r="H208" s="1">
        <v>2472</v>
      </c>
      <c r="K208" s="1">
        <v>11849</v>
      </c>
      <c r="L208" s="1">
        <v>12825</v>
      </c>
      <c r="M208" s="1">
        <v>20530</v>
      </c>
      <c r="N208" s="1">
        <f t="shared" si="11"/>
        <v>0.39826145666300955</v>
      </c>
      <c r="O208" s="1">
        <f t="shared" si="9"/>
        <v>0.2086252004388556</v>
      </c>
    </row>
    <row r="209" spans="1:15" ht="42" x14ac:dyDescent="0.2">
      <c r="A209" s="1" t="str">
        <f t="shared" si="10"/>
        <v>CARLOS TEJEDOR</v>
      </c>
      <c r="B209" s="2" t="s">
        <v>161</v>
      </c>
      <c r="C209" s="2" t="s">
        <v>82</v>
      </c>
      <c r="D209" s="2" t="s">
        <v>86</v>
      </c>
      <c r="E209" s="2" t="s">
        <v>162</v>
      </c>
      <c r="F209" s="1">
        <v>4157</v>
      </c>
      <c r="H209" s="1">
        <v>1425</v>
      </c>
      <c r="K209" s="1">
        <v>7017</v>
      </c>
      <c r="L209" s="1">
        <v>7280</v>
      </c>
      <c r="M209" s="1">
        <v>10185</v>
      </c>
      <c r="N209" s="1">
        <f t="shared" si="11"/>
        <v>0.59241841242696314</v>
      </c>
      <c r="O209" s="1">
        <f t="shared" ref="O209:O272" si="12">H209/K209</f>
        <v>0.20307823856348867</v>
      </c>
    </row>
    <row r="210" spans="1:15" ht="42" x14ac:dyDescent="0.2">
      <c r="A210" s="1" t="str">
        <f t="shared" si="10"/>
        <v>CHACABUCO</v>
      </c>
      <c r="B210" s="2" t="s">
        <v>161</v>
      </c>
      <c r="C210" s="2" t="s">
        <v>82</v>
      </c>
      <c r="D210" s="2" t="s">
        <v>87</v>
      </c>
      <c r="E210" s="2" t="s">
        <v>162</v>
      </c>
      <c r="F210" s="1">
        <v>14409</v>
      </c>
      <c r="H210" s="1">
        <v>6265</v>
      </c>
      <c r="I210" s="1">
        <v>516</v>
      </c>
      <c r="K210" s="1">
        <v>28268</v>
      </c>
      <c r="L210" s="1">
        <v>29772</v>
      </c>
      <c r="M210" s="1">
        <v>44883</v>
      </c>
      <c r="N210" s="1">
        <f t="shared" si="11"/>
        <v>0.50972831470213664</v>
      </c>
      <c r="O210" s="1">
        <f t="shared" si="12"/>
        <v>0.22162869675958682</v>
      </c>
    </row>
    <row r="211" spans="1:15" ht="42" x14ac:dyDescent="0.2">
      <c r="A211" s="1" t="str">
        <f t="shared" si="10"/>
        <v>CHIVILCOY</v>
      </c>
      <c r="B211" s="2" t="s">
        <v>161</v>
      </c>
      <c r="C211" s="2" t="s">
        <v>82</v>
      </c>
      <c r="D211" s="2" t="s">
        <v>88</v>
      </c>
      <c r="E211" s="2" t="s">
        <v>162</v>
      </c>
      <c r="F211" s="1">
        <v>13750</v>
      </c>
      <c r="H211" s="1">
        <v>8792</v>
      </c>
      <c r="I211" s="1">
        <v>1025</v>
      </c>
      <c r="K211" s="1">
        <v>36049</v>
      </c>
      <c r="L211" s="1">
        <v>38800</v>
      </c>
      <c r="M211" s="1">
        <v>62440</v>
      </c>
      <c r="N211" s="1">
        <f t="shared" si="11"/>
        <v>0.38142528225470884</v>
      </c>
      <c r="O211" s="1">
        <f t="shared" si="12"/>
        <v>0.24389026047879275</v>
      </c>
    </row>
    <row r="212" spans="1:15" ht="42" x14ac:dyDescent="0.2">
      <c r="A212" s="1" t="str">
        <f t="shared" si="10"/>
        <v>GENERAL ARENALES</v>
      </c>
      <c r="B212" s="2" t="s">
        <v>161</v>
      </c>
      <c r="C212" s="2" t="s">
        <v>82</v>
      </c>
      <c r="D212" s="2" t="s">
        <v>89</v>
      </c>
      <c r="E212" s="2" t="s">
        <v>162</v>
      </c>
      <c r="F212" s="1">
        <v>2834</v>
      </c>
      <c r="H212" s="1">
        <v>2092</v>
      </c>
      <c r="K212" s="1">
        <v>9172</v>
      </c>
      <c r="L212" s="1">
        <v>9723</v>
      </c>
      <c r="M212" s="1">
        <v>15481</v>
      </c>
      <c r="N212" s="1">
        <f t="shared" si="11"/>
        <v>0.3089838639337113</v>
      </c>
      <c r="O212" s="1">
        <f t="shared" si="12"/>
        <v>0.22808547754034017</v>
      </c>
    </row>
    <row r="213" spans="1:15" ht="42" x14ac:dyDescent="0.2">
      <c r="A213" s="1" t="str">
        <f t="shared" si="10"/>
        <v>GENERAL PINTO</v>
      </c>
      <c r="B213" s="2" t="s">
        <v>161</v>
      </c>
      <c r="C213" s="2" t="s">
        <v>82</v>
      </c>
      <c r="D213" s="2" t="s">
        <v>90</v>
      </c>
      <c r="E213" s="2" t="s">
        <v>162</v>
      </c>
      <c r="F213" s="1">
        <v>4146</v>
      </c>
      <c r="H213" s="1">
        <v>1446</v>
      </c>
      <c r="K213" s="1">
        <v>7010</v>
      </c>
      <c r="L213" s="1">
        <v>7341</v>
      </c>
      <c r="M213" s="1">
        <v>10363</v>
      </c>
      <c r="N213" s="1">
        <f t="shared" si="11"/>
        <v>0.59144079885877321</v>
      </c>
      <c r="O213" s="1">
        <f t="shared" si="12"/>
        <v>0.20627674750356634</v>
      </c>
    </row>
    <row r="214" spans="1:15" ht="42" x14ac:dyDescent="0.2">
      <c r="A214" s="1" t="str">
        <f t="shared" si="10"/>
        <v>GENERAL VIAMONTE</v>
      </c>
      <c r="B214" s="2" t="s">
        <v>161</v>
      </c>
      <c r="C214" s="2" t="s">
        <v>82</v>
      </c>
      <c r="D214" s="2" t="s">
        <v>91</v>
      </c>
      <c r="E214" s="2" t="s">
        <v>162</v>
      </c>
      <c r="F214" s="1">
        <v>4716</v>
      </c>
      <c r="H214" s="1">
        <v>1871</v>
      </c>
      <c r="K214" s="1">
        <v>10139</v>
      </c>
      <c r="L214" s="1">
        <v>10751</v>
      </c>
      <c r="M214" s="1">
        <v>15963</v>
      </c>
      <c r="N214" s="1">
        <f t="shared" si="11"/>
        <v>0.46513462866160371</v>
      </c>
      <c r="O214" s="1">
        <f t="shared" si="12"/>
        <v>0.18453496400039451</v>
      </c>
    </row>
    <row r="215" spans="1:15" ht="42" x14ac:dyDescent="0.2">
      <c r="A215" s="1" t="str">
        <f t="shared" si="10"/>
        <v>GENERAL VILLEGAS</v>
      </c>
      <c r="B215" s="2" t="s">
        <v>161</v>
      </c>
      <c r="C215" s="2" t="s">
        <v>82</v>
      </c>
      <c r="D215" s="2" t="s">
        <v>92</v>
      </c>
      <c r="E215" s="2" t="s">
        <v>162</v>
      </c>
      <c r="F215" s="1">
        <v>3062</v>
      </c>
      <c r="H215" s="1">
        <v>5289</v>
      </c>
      <c r="K215" s="1">
        <v>13918</v>
      </c>
      <c r="L215" s="1">
        <v>15014</v>
      </c>
      <c r="M215" s="1">
        <v>26161</v>
      </c>
      <c r="N215" s="1">
        <f t="shared" si="11"/>
        <v>0.22000287397614599</v>
      </c>
      <c r="O215" s="1">
        <f t="shared" si="12"/>
        <v>0.380011495904584</v>
      </c>
    </row>
    <row r="216" spans="1:15" ht="42" x14ac:dyDescent="0.2">
      <c r="A216" s="1" t="str">
        <f t="shared" si="10"/>
        <v>HIPOLITO YRIGOYEN</v>
      </c>
      <c r="B216" s="2" t="s">
        <v>161</v>
      </c>
      <c r="C216" s="2" t="s">
        <v>82</v>
      </c>
      <c r="D216" s="2" t="s">
        <v>93</v>
      </c>
      <c r="E216" s="2" t="s">
        <v>162</v>
      </c>
      <c r="F216" s="1">
        <v>2071</v>
      </c>
      <c r="H216" s="1">
        <v>1913</v>
      </c>
      <c r="K216" s="1">
        <v>4507</v>
      </c>
      <c r="L216" s="1">
        <v>4851</v>
      </c>
      <c r="M216" s="1">
        <v>8373</v>
      </c>
      <c r="N216" s="1">
        <f t="shared" si="11"/>
        <v>0.45950743288218326</v>
      </c>
      <c r="O216" s="1">
        <f t="shared" si="12"/>
        <v>0.42445085422675838</v>
      </c>
    </row>
    <row r="217" spans="1:15" ht="42" x14ac:dyDescent="0.2">
      <c r="A217" s="1" t="str">
        <f t="shared" si="10"/>
        <v>JUNIN</v>
      </c>
      <c r="B217" s="2" t="s">
        <v>161</v>
      </c>
      <c r="C217" s="2" t="s">
        <v>82</v>
      </c>
      <c r="D217" s="2" t="s">
        <v>94</v>
      </c>
      <c r="E217" s="2" t="s">
        <v>162</v>
      </c>
      <c r="F217" s="1">
        <v>18037</v>
      </c>
      <c r="H217" s="1">
        <v>11685</v>
      </c>
      <c r="I217" s="1">
        <v>873</v>
      </c>
      <c r="K217" s="1">
        <v>51221</v>
      </c>
      <c r="L217" s="1">
        <v>54065</v>
      </c>
      <c r="M217" s="1">
        <v>83950</v>
      </c>
      <c r="N217" s="1">
        <f t="shared" si="11"/>
        <v>0.35214072353136411</v>
      </c>
      <c r="O217" s="1">
        <f t="shared" si="12"/>
        <v>0.22812908767888171</v>
      </c>
    </row>
    <row r="218" spans="1:15" ht="42" x14ac:dyDescent="0.2">
      <c r="A218" s="1" t="str">
        <f t="shared" si="10"/>
        <v>LEANDRO N ALEM</v>
      </c>
      <c r="B218" s="2" t="s">
        <v>161</v>
      </c>
      <c r="C218" s="2" t="s">
        <v>82</v>
      </c>
      <c r="D218" s="2" t="s">
        <v>95</v>
      </c>
      <c r="E218" s="2" t="s">
        <v>162</v>
      </c>
      <c r="F218" s="1">
        <v>4869</v>
      </c>
      <c r="H218" s="1">
        <v>2783</v>
      </c>
      <c r="K218" s="1">
        <v>9212</v>
      </c>
      <c r="L218" s="1">
        <v>9850</v>
      </c>
      <c r="M218" s="1">
        <v>15372</v>
      </c>
      <c r="N218" s="1">
        <f t="shared" si="11"/>
        <v>0.52854971775944415</v>
      </c>
      <c r="O218" s="1">
        <f t="shared" si="12"/>
        <v>0.3021059487624837</v>
      </c>
    </row>
    <row r="219" spans="1:15" ht="42" x14ac:dyDescent="0.2">
      <c r="A219" s="1" t="str">
        <f t="shared" si="10"/>
        <v>LINCOLN</v>
      </c>
      <c r="B219" s="2" t="s">
        <v>161</v>
      </c>
      <c r="C219" s="2" t="s">
        <v>82</v>
      </c>
      <c r="D219" s="2" t="s">
        <v>96</v>
      </c>
      <c r="E219" s="2" t="s">
        <v>162</v>
      </c>
      <c r="F219" s="1">
        <v>6238</v>
      </c>
      <c r="H219" s="1">
        <v>6740</v>
      </c>
      <c r="K219" s="1">
        <v>22249</v>
      </c>
      <c r="L219" s="1">
        <v>23741</v>
      </c>
      <c r="M219" s="1">
        <v>39006</v>
      </c>
      <c r="N219" s="1">
        <f t="shared" si="11"/>
        <v>0.28037215155737338</v>
      </c>
      <c r="O219" s="1">
        <f t="shared" si="12"/>
        <v>0.30293496336914016</v>
      </c>
    </row>
    <row r="220" spans="1:15" ht="42" x14ac:dyDescent="0.2">
      <c r="A220" s="1" t="str">
        <f t="shared" si="10"/>
        <v>NUEVE DE JULIO</v>
      </c>
      <c r="B220" s="2" t="s">
        <v>161</v>
      </c>
      <c r="C220" s="2" t="s">
        <v>82</v>
      </c>
      <c r="D220" s="2" t="s">
        <v>97</v>
      </c>
      <c r="E220" s="2" t="s">
        <v>162</v>
      </c>
      <c r="F220" s="1">
        <v>5993</v>
      </c>
      <c r="H220" s="1">
        <v>7246</v>
      </c>
      <c r="I220" s="1">
        <v>336</v>
      </c>
      <c r="K220" s="1">
        <v>24237</v>
      </c>
      <c r="L220" s="1">
        <v>26213</v>
      </c>
      <c r="M220" s="1">
        <v>44069</v>
      </c>
      <c r="N220" s="1">
        <f t="shared" si="11"/>
        <v>0.24726657589635681</v>
      </c>
      <c r="O220" s="1">
        <f t="shared" si="12"/>
        <v>0.29896439328299707</v>
      </c>
    </row>
    <row r="221" spans="1:15" ht="42" x14ac:dyDescent="0.2">
      <c r="A221" s="1" t="str">
        <f t="shared" si="10"/>
        <v>PEHUAJO</v>
      </c>
      <c r="B221" s="2" t="s">
        <v>161</v>
      </c>
      <c r="C221" s="2" t="s">
        <v>82</v>
      </c>
      <c r="D221" s="2" t="s">
        <v>98</v>
      </c>
      <c r="E221" s="2" t="s">
        <v>162</v>
      </c>
      <c r="F221" s="1">
        <v>11617</v>
      </c>
      <c r="H221" s="1">
        <v>6426</v>
      </c>
      <c r="K221" s="1">
        <v>22681</v>
      </c>
      <c r="L221" s="1">
        <v>24268</v>
      </c>
      <c r="M221" s="1">
        <v>36856</v>
      </c>
      <c r="N221" s="1">
        <f t="shared" si="11"/>
        <v>0.51219082051055953</v>
      </c>
      <c r="O221" s="1">
        <f t="shared" si="12"/>
        <v>0.28332084123274986</v>
      </c>
    </row>
    <row r="222" spans="1:15" ht="42" x14ac:dyDescent="0.2">
      <c r="A222" s="1" t="str">
        <f t="shared" si="10"/>
        <v>RIVADAVIA</v>
      </c>
      <c r="B222" s="2" t="s">
        <v>161</v>
      </c>
      <c r="C222" s="2" t="s">
        <v>82</v>
      </c>
      <c r="D222" s="2" t="s">
        <v>99</v>
      </c>
      <c r="E222" s="2" t="s">
        <v>162</v>
      </c>
      <c r="F222" s="1">
        <v>4361</v>
      </c>
      <c r="H222" s="1">
        <v>1548</v>
      </c>
      <c r="K222" s="1">
        <v>9587</v>
      </c>
      <c r="L222" s="1">
        <v>10147</v>
      </c>
      <c r="M222" s="1">
        <v>15123</v>
      </c>
      <c r="N222" s="1">
        <f t="shared" si="11"/>
        <v>0.45488682591008656</v>
      </c>
      <c r="O222" s="1">
        <f t="shared" si="12"/>
        <v>0.16146865547095024</v>
      </c>
    </row>
    <row r="223" spans="1:15" ht="42" x14ac:dyDescent="0.2">
      <c r="A223" s="1" t="str">
        <f t="shared" si="10"/>
        <v>TRENQUE LAUQUEN</v>
      </c>
      <c r="B223" s="2" t="s">
        <v>161</v>
      </c>
      <c r="C223" s="2" t="s">
        <v>82</v>
      </c>
      <c r="D223" s="2" t="s">
        <v>100</v>
      </c>
      <c r="E223" s="2" t="s">
        <v>162</v>
      </c>
      <c r="F223" s="1">
        <v>6734</v>
      </c>
      <c r="H223" s="1">
        <v>6959</v>
      </c>
      <c r="K223" s="1">
        <v>21490</v>
      </c>
      <c r="L223" s="1">
        <v>23704</v>
      </c>
      <c r="M223" s="1">
        <v>42731</v>
      </c>
      <c r="N223" s="1">
        <f t="shared" si="11"/>
        <v>0.31335504885993487</v>
      </c>
      <c r="O223" s="1">
        <f t="shared" si="12"/>
        <v>0.32382503489995346</v>
      </c>
    </row>
    <row r="224" spans="1:15" ht="51" x14ac:dyDescent="0.2">
      <c r="A224" s="1" t="str">
        <f t="shared" si="10"/>
        <v>FLORENTINO AMEGHINO</v>
      </c>
      <c r="B224" s="2" t="s">
        <v>161</v>
      </c>
      <c r="C224" s="2" t="s">
        <v>82</v>
      </c>
      <c r="D224" s="2" t="s">
        <v>101</v>
      </c>
      <c r="E224" s="2" t="s">
        <v>162</v>
      </c>
      <c r="F224" s="1">
        <v>2121</v>
      </c>
      <c r="H224" s="1">
        <v>1047</v>
      </c>
      <c r="K224" s="1">
        <v>5402</v>
      </c>
      <c r="L224" s="1">
        <v>5612</v>
      </c>
      <c r="M224" s="1">
        <v>8208</v>
      </c>
      <c r="N224" s="1">
        <f t="shared" si="11"/>
        <v>0.39263235838578303</v>
      </c>
      <c r="O224" s="1">
        <f t="shared" si="12"/>
        <v>0.19381710477600889</v>
      </c>
    </row>
    <row r="225" spans="1:15" ht="42" x14ac:dyDescent="0.2">
      <c r="A225" s="1" t="str">
        <f t="shared" si="10"/>
        <v>SECCION QUINTA</v>
      </c>
      <c r="B225" s="2" t="s">
        <v>161</v>
      </c>
      <c r="C225" s="2" t="s">
        <v>102</v>
      </c>
      <c r="D225" s="2" t="s">
        <v>102</v>
      </c>
      <c r="E225" s="2" t="s">
        <v>18</v>
      </c>
      <c r="F225" s="1">
        <v>251998</v>
      </c>
      <c r="H225" s="1">
        <v>282661</v>
      </c>
      <c r="I225" s="1">
        <v>16952</v>
      </c>
      <c r="K225" s="1">
        <v>671019</v>
      </c>
      <c r="L225" s="1">
        <v>801079</v>
      </c>
      <c r="M225" s="1">
        <v>1336787</v>
      </c>
      <c r="N225" s="1">
        <f t="shared" si="11"/>
        <v>0.37554525281698431</v>
      </c>
      <c r="O225" s="1">
        <f t="shared" si="12"/>
        <v>0.42124142535457265</v>
      </c>
    </row>
    <row r="226" spans="1:15" ht="42" x14ac:dyDescent="0.2">
      <c r="A226" s="1" t="str">
        <f t="shared" si="10"/>
        <v>AYACUCHO</v>
      </c>
      <c r="B226" s="2" t="s">
        <v>161</v>
      </c>
      <c r="C226" s="2" t="s">
        <v>102</v>
      </c>
      <c r="D226" s="2" t="s">
        <v>103</v>
      </c>
      <c r="E226" s="2" t="s">
        <v>162</v>
      </c>
      <c r="F226" s="1">
        <v>4042</v>
      </c>
      <c r="H226" s="1">
        <v>2549</v>
      </c>
      <c r="K226" s="1">
        <v>10142</v>
      </c>
      <c r="L226" s="1">
        <v>11120</v>
      </c>
      <c r="M226" s="1">
        <v>18768</v>
      </c>
      <c r="N226" s="1">
        <f t="shared" si="11"/>
        <v>0.39854072175113392</v>
      </c>
      <c r="O226" s="1">
        <f t="shared" si="12"/>
        <v>0.25133109840268192</v>
      </c>
    </row>
    <row r="227" spans="1:15" ht="42" x14ac:dyDescent="0.2">
      <c r="A227" s="1" t="str">
        <f t="shared" si="10"/>
        <v>BALCARCE</v>
      </c>
      <c r="B227" s="2" t="s">
        <v>161</v>
      </c>
      <c r="C227" s="2" t="s">
        <v>102</v>
      </c>
      <c r="D227" s="2" t="s">
        <v>104</v>
      </c>
      <c r="E227" s="2" t="s">
        <v>162</v>
      </c>
      <c r="F227" s="1">
        <v>4802</v>
      </c>
      <c r="H227" s="1">
        <v>7910</v>
      </c>
      <c r="K227" s="1">
        <v>24052</v>
      </c>
      <c r="L227" s="1">
        <v>25816</v>
      </c>
      <c r="M227" s="1">
        <v>42058</v>
      </c>
      <c r="N227" s="1">
        <f t="shared" si="11"/>
        <v>0.19965075669383003</v>
      </c>
      <c r="O227" s="1">
        <f t="shared" si="12"/>
        <v>0.3288707799767171</v>
      </c>
    </row>
    <row r="228" spans="1:15" ht="42" x14ac:dyDescent="0.2">
      <c r="A228" s="1" t="str">
        <f t="shared" si="10"/>
        <v>CASTELLI</v>
      </c>
      <c r="B228" s="2" t="s">
        <v>161</v>
      </c>
      <c r="C228" s="2" t="s">
        <v>102</v>
      </c>
      <c r="D228" s="2" t="s">
        <v>105</v>
      </c>
      <c r="E228" s="2" t="s">
        <v>162</v>
      </c>
      <c r="F228" s="1">
        <v>2957</v>
      </c>
      <c r="H228" s="1">
        <v>956</v>
      </c>
      <c r="K228" s="1">
        <v>5637</v>
      </c>
      <c r="L228" s="1">
        <v>5871</v>
      </c>
      <c r="M228" s="1">
        <v>8134</v>
      </c>
      <c r="N228" s="1">
        <f t="shared" si="11"/>
        <v>0.52456980663473474</v>
      </c>
      <c r="O228" s="1">
        <f t="shared" si="12"/>
        <v>0.16959375554372894</v>
      </c>
    </row>
    <row r="229" spans="1:15" ht="42" x14ac:dyDescent="0.2">
      <c r="A229" s="1" t="str">
        <f t="shared" si="10"/>
        <v>CHASCOMUS</v>
      </c>
      <c r="B229" s="2" t="s">
        <v>161</v>
      </c>
      <c r="C229" s="2" t="s">
        <v>102</v>
      </c>
      <c r="D229" s="2" t="s">
        <v>106</v>
      </c>
      <c r="E229" s="2" t="s">
        <v>162</v>
      </c>
      <c r="F229" s="1">
        <v>6821</v>
      </c>
      <c r="H229" s="1">
        <v>4712</v>
      </c>
      <c r="I229" s="1">
        <v>456</v>
      </c>
      <c r="K229" s="1">
        <v>21200</v>
      </c>
      <c r="L229" s="1">
        <v>22294</v>
      </c>
      <c r="M229" s="1">
        <v>36621</v>
      </c>
      <c r="N229" s="1">
        <f t="shared" si="11"/>
        <v>0.3217452830188679</v>
      </c>
      <c r="O229" s="1">
        <f t="shared" si="12"/>
        <v>0.22226415094339622</v>
      </c>
    </row>
    <row r="230" spans="1:15" ht="42" x14ac:dyDescent="0.2">
      <c r="A230" s="1" t="str">
        <f t="shared" si="10"/>
        <v>DOLORES</v>
      </c>
      <c r="B230" s="2" t="s">
        <v>161</v>
      </c>
      <c r="C230" s="2" t="s">
        <v>102</v>
      </c>
      <c r="D230" s="2" t="s">
        <v>107</v>
      </c>
      <c r="E230" s="2" t="s">
        <v>162</v>
      </c>
      <c r="F230" s="1">
        <v>10975</v>
      </c>
      <c r="H230" s="1">
        <v>2825</v>
      </c>
      <c r="K230" s="1">
        <v>18280</v>
      </c>
      <c r="L230" s="1">
        <v>19135</v>
      </c>
      <c r="M230" s="1">
        <v>26102</v>
      </c>
      <c r="N230" s="1">
        <f t="shared" si="11"/>
        <v>0.60038293216630201</v>
      </c>
      <c r="O230" s="1">
        <f t="shared" si="12"/>
        <v>0.15454048140043763</v>
      </c>
    </row>
    <row r="231" spans="1:15" ht="42" x14ac:dyDescent="0.2">
      <c r="A231" s="1" t="str">
        <f t="shared" si="10"/>
        <v>GENERAL ALVARADO</v>
      </c>
      <c r="B231" s="2" t="s">
        <v>161</v>
      </c>
      <c r="C231" s="2" t="s">
        <v>102</v>
      </c>
      <c r="D231" s="2" t="s">
        <v>108</v>
      </c>
      <c r="E231" s="2" t="s">
        <v>162</v>
      </c>
      <c r="F231" s="1">
        <v>6576</v>
      </c>
      <c r="H231" s="1">
        <v>6482</v>
      </c>
      <c r="I231" s="1">
        <v>363</v>
      </c>
      <c r="K231" s="1">
        <v>23061</v>
      </c>
      <c r="L231" s="1">
        <v>24542</v>
      </c>
      <c r="M231" s="1">
        <v>41075</v>
      </c>
      <c r="N231" s="1">
        <f t="shared" si="11"/>
        <v>0.28515675816313257</v>
      </c>
      <c r="O231" s="1">
        <f t="shared" si="12"/>
        <v>0.28108061228914616</v>
      </c>
    </row>
    <row r="232" spans="1:15" ht="42" x14ac:dyDescent="0.2">
      <c r="A232" s="1" t="str">
        <f t="shared" si="10"/>
        <v>GENERAL BELGRANO</v>
      </c>
      <c r="B232" s="2" t="s">
        <v>161</v>
      </c>
      <c r="C232" s="2" t="s">
        <v>102</v>
      </c>
      <c r="D232" s="2" t="s">
        <v>109</v>
      </c>
      <c r="E232" s="2" t="s">
        <v>162</v>
      </c>
      <c r="F232" s="1">
        <v>4146</v>
      </c>
      <c r="H232" s="1">
        <v>2356</v>
      </c>
      <c r="K232" s="1">
        <v>10063</v>
      </c>
      <c r="L232" s="1">
        <v>10997</v>
      </c>
      <c r="M232" s="1">
        <v>17338</v>
      </c>
      <c r="N232" s="1">
        <f t="shared" si="11"/>
        <v>0.41200437245354266</v>
      </c>
      <c r="O232" s="1">
        <f t="shared" si="12"/>
        <v>0.23412501242174302</v>
      </c>
    </row>
    <row r="233" spans="1:15" ht="42" x14ac:dyDescent="0.2">
      <c r="A233" s="1" t="str">
        <f t="shared" si="10"/>
        <v>GENERAL GUIDO</v>
      </c>
      <c r="B233" s="2" t="s">
        <v>161</v>
      </c>
      <c r="C233" s="2" t="s">
        <v>102</v>
      </c>
      <c r="D233" s="2" t="s">
        <v>110</v>
      </c>
      <c r="E233" s="2" t="s">
        <v>162</v>
      </c>
      <c r="F233" s="1">
        <v>929</v>
      </c>
      <c r="H233" s="1">
        <v>342</v>
      </c>
      <c r="K233" s="1">
        <v>1903</v>
      </c>
      <c r="L233" s="1">
        <v>2012</v>
      </c>
      <c r="M233" s="1">
        <v>3051</v>
      </c>
      <c r="N233" s="1">
        <f t="shared" si="11"/>
        <v>0.48817656332107201</v>
      </c>
      <c r="O233" s="1">
        <f t="shared" si="12"/>
        <v>0.17971623751970572</v>
      </c>
    </row>
    <row r="234" spans="1:15" ht="42" x14ac:dyDescent="0.2">
      <c r="A234" s="1" t="str">
        <f t="shared" si="10"/>
        <v>GENERAL LAVALLE</v>
      </c>
      <c r="B234" s="2" t="s">
        <v>161</v>
      </c>
      <c r="C234" s="2" t="s">
        <v>102</v>
      </c>
      <c r="D234" s="2" t="s">
        <v>111</v>
      </c>
      <c r="E234" s="2" t="s">
        <v>162</v>
      </c>
      <c r="F234" s="1">
        <v>1108</v>
      </c>
      <c r="H234" s="1">
        <v>403</v>
      </c>
      <c r="K234" s="1">
        <v>3346</v>
      </c>
      <c r="L234" s="1">
        <v>3510</v>
      </c>
      <c r="M234" s="1">
        <v>5718</v>
      </c>
      <c r="N234" s="1">
        <f t="shared" si="11"/>
        <v>0.33114166168559472</v>
      </c>
      <c r="O234" s="1">
        <f t="shared" si="12"/>
        <v>0.12044231918708906</v>
      </c>
    </row>
    <row r="235" spans="1:15" ht="51" x14ac:dyDescent="0.2">
      <c r="A235" s="1" t="str">
        <f t="shared" si="10"/>
        <v>GENERAL MADARIAGA</v>
      </c>
      <c r="B235" s="2" t="s">
        <v>161</v>
      </c>
      <c r="C235" s="2" t="s">
        <v>102</v>
      </c>
      <c r="D235" s="2" t="s">
        <v>112</v>
      </c>
      <c r="E235" s="2" t="s">
        <v>162</v>
      </c>
      <c r="F235" s="1">
        <v>3023</v>
      </c>
      <c r="H235" s="1">
        <v>2453</v>
      </c>
      <c r="I235" s="1">
        <v>5106</v>
      </c>
      <c r="K235" s="1">
        <v>10582</v>
      </c>
      <c r="L235" s="1">
        <v>11529</v>
      </c>
      <c r="M235" s="1">
        <v>20709</v>
      </c>
      <c r="N235" s="1">
        <f t="shared" si="11"/>
        <v>0.28567378567378565</v>
      </c>
      <c r="O235" s="1">
        <f t="shared" si="12"/>
        <v>0.23180873180873182</v>
      </c>
    </row>
    <row r="236" spans="1:15" ht="42" x14ac:dyDescent="0.2">
      <c r="A236" s="1" t="str">
        <f t="shared" si="10"/>
        <v>GENERAL PAZ</v>
      </c>
      <c r="B236" s="2" t="s">
        <v>161</v>
      </c>
      <c r="C236" s="2" t="s">
        <v>102</v>
      </c>
      <c r="D236" s="2" t="s">
        <v>113</v>
      </c>
      <c r="E236" s="2" t="s">
        <v>162</v>
      </c>
      <c r="F236" s="1">
        <v>4531</v>
      </c>
      <c r="H236" s="1">
        <v>2220</v>
      </c>
      <c r="K236" s="1">
        <v>8110</v>
      </c>
      <c r="L236" s="1">
        <v>8578</v>
      </c>
      <c r="M236" s="1">
        <v>12197</v>
      </c>
      <c r="N236" s="1">
        <f t="shared" si="11"/>
        <v>0.55869297163995069</v>
      </c>
      <c r="O236" s="1">
        <f t="shared" si="12"/>
        <v>0.27373612823674476</v>
      </c>
    </row>
    <row r="237" spans="1:15" ht="51" x14ac:dyDescent="0.2">
      <c r="A237" s="1" t="str">
        <f t="shared" si="10"/>
        <v>GENERAL PUEYRREDON</v>
      </c>
      <c r="B237" s="2" t="s">
        <v>161</v>
      </c>
      <c r="C237" s="2" t="s">
        <v>102</v>
      </c>
      <c r="D237" s="2" t="s">
        <v>114</v>
      </c>
      <c r="E237" s="2" t="s">
        <v>162</v>
      </c>
      <c r="F237" s="1">
        <v>68210</v>
      </c>
      <c r="H237" s="1">
        <v>127299</v>
      </c>
      <c r="I237" s="1">
        <v>7350</v>
      </c>
      <c r="K237" s="1">
        <v>333770</v>
      </c>
      <c r="L237" s="1">
        <v>354207</v>
      </c>
      <c r="M237" s="1">
        <v>596177</v>
      </c>
      <c r="N237" s="1">
        <f t="shared" si="11"/>
        <v>0.20436228540611798</v>
      </c>
      <c r="O237" s="1">
        <f t="shared" si="12"/>
        <v>0.3813973694460257</v>
      </c>
    </row>
    <row r="238" spans="1:15" ht="42" x14ac:dyDescent="0.2">
      <c r="A238" s="1" t="str">
        <f t="shared" si="10"/>
        <v>LAS FLORES</v>
      </c>
      <c r="B238" s="2" t="s">
        <v>161</v>
      </c>
      <c r="C238" s="2" t="s">
        <v>102</v>
      </c>
      <c r="D238" s="2" t="s">
        <v>115</v>
      </c>
      <c r="E238" s="2" t="s">
        <v>162</v>
      </c>
      <c r="F238" s="1">
        <v>5406</v>
      </c>
      <c r="H238" s="1">
        <v>5276</v>
      </c>
      <c r="I238" s="1">
        <v>337</v>
      </c>
      <c r="K238" s="1">
        <v>13727</v>
      </c>
      <c r="L238" s="1">
        <v>14757</v>
      </c>
      <c r="M238" s="1">
        <v>22840</v>
      </c>
      <c r="N238" s="1">
        <f t="shared" si="11"/>
        <v>0.39382239382239381</v>
      </c>
      <c r="O238" s="1">
        <f t="shared" si="12"/>
        <v>0.3843520069935164</v>
      </c>
    </row>
    <row r="239" spans="1:15" ht="42" x14ac:dyDescent="0.2">
      <c r="A239" s="1" t="str">
        <f t="shared" si="10"/>
        <v>LOBERIA</v>
      </c>
      <c r="B239" s="2" t="s">
        <v>161</v>
      </c>
      <c r="C239" s="2" t="s">
        <v>102</v>
      </c>
      <c r="D239" s="2" t="s">
        <v>116</v>
      </c>
      <c r="E239" s="2" t="s">
        <v>162</v>
      </c>
      <c r="F239" s="1">
        <v>3251</v>
      </c>
      <c r="H239" s="1">
        <v>1845</v>
      </c>
      <c r="K239" s="1">
        <v>8460</v>
      </c>
      <c r="L239" s="1">
        <v>9122</v>
      </c>
      <c r="M239" s="1">
        <v>14947</v>
      </c>
      <c r="N239" s="1">
        <f t="shared" si="11"/>
        <v>0.38427895981087473</v>
      </c>
      <c r="O239" s="1">
        <f t="shared" si="12"/>
        <v>0.21808510638297873</v>
      </c>
    </row>
    <row r="240" spans="1:15" ht="42" x14ac:dyDescent="0.2">
      <c r="A240" s="1" t="str">
        <f t="shared" si="10"/>
        <v>MAIPU</v>
      </c>
      <c r="B240" s="2" t="s">
        <v>161</v>
      </c>
      <c r="C240" s="2" t="s">
        <v>102</v>
      </c>
      <c r="D240" s="2" t="s">
        <v>117</v>
      </c>
      <c r="E240" s="2" t="s">
        <v>162</v>
      </c>
      <c r="F240" s="1">
        <v>27690</v>
      </c>
      <c r="H240" s="1">
        <v>1459</v>
      </c>
      <c r="I240" s="1">
        <v>2666</v>
      </c>
      <c r="K240" s="1">
        <v>6885</v>
      </c>
      <c r="L240" s="1">
        <v>7219</v>
      </c>
      <c r="M240" s="1">
        <v>10312</v>
      </c>
      <c r="N240" s="1">
        <f t="shared" si="11"/>
        <v>4.0217864923747273</v>
      </c>
      <c r="O240" s="1">
        <f t="shared" si="12"/>
        <v>0.21190994916485112</v>
      </c>
    </row>
    <row r="241" spans="1:15" ht="42" x14ac:dyDescent="0.2">
      <c r="A241" s="1" t="str">
        <f t="shared" si="10"/>
        <v>MAR CHIQUITA</v>
      </c>
      <c r="B241" s="2" t="s">
        <v>161</v>
      </c>
      <c r="C241" s="2" t="s">
        <v>102</v>
      </c>
      <c r="D241" s="2" t="s">
        <v>118</v>
      </c>
      <c r="E241" s="2" t="s">
        <v>162</v>
      </c>
      <c r="F241" s="1">
        <v>9483</v>
      </c>
      <c r="H241" s="1">
        <v>6046</v>
      </c>
      <c r="K241" s="1">
        <v>19013</v>
      </c>
      <c r="L241" s="1">
        <v>20405</v>
      </c>
      <c r="M241" s="1">
        <v>33970</v>
      </c>
      <c r="N241" s="1">
        <f t="shared" si="11"/>
        <v>0.4987640035765003</v>
      </c>
      <c r="O241" s="1">
        <f t="shared" si="12"/>
        <v>0.31799295219060641</v>
      </c>
    </row>
    <row r="242" spans="1:15" ht="42" x14ac:dyDescent="0.2">
      <c r="A242" s="1" t="str">
        <f t="shared" si="10"/>
        <v>MONTE</v>
      </c>
      <c r="B242" s="2" t="s">
        <v>161</v>
      </c>
      <c r="C242" s="2" t="s">
        <v>102</v>
      </c>
      <c r="D242" s="2" t="s">
        <v>119</v>
      </c>
      <c r="E242" s="2" t="s">
        <v>162</v>
      </c>
      <c r="F242" s="1">
        <v>4951</v>
      </c>
      <c r="H242" s="1">
        <v>3186</v>
      </c>
      <c r="K242" s="1">
        <v>11717</v>
      </c>
      <c r="L242" s="1">
        <v>12748</v>
      </c>
      <c r="M242" s="1">
        <v>21554</v>
      </c>
      <c r="N242" s="1">
        <f t="shared" si="11"/>
        <v>0.42254843389946234</v>
      </c>
      <c r="O242" s="1">
        <f t="shared" si="12"/>
        <v>0.27191260561577196</v>
      </c>
    </row>
    <row r="243" spans="1:15" ht="42" x14ac:dyDescent="0.2">
      <c r="A243" s="1" t="str">
        <f t="shared" si="10"/>
        <v>NECOCHEA</v>
      </c>
      <c r="B243" s="2" t="s">
        <v>161</v>
      </c>
      <c r="C243" s="2" t="s">
        <v>102</v>
      </c>
      <c r="D243" s="2" t="s">
        <v>120</v>
      </c>
      <c r="E243" s="2" t="s">
        <v>162</v>
      </c>
      <c r="F243" s="1">
        <v>9663</v>
      </c>
      <c r="H243" s="1">
        <v>15043</v>
      </c>
      <c r="I243" s="1">
        <v>1215</v>
      </c>
      <c r="K243" s="1">
        <v>47292</v>
      </c>
      <c r="L243" s="1">
        <v>51247</v>
      </c>
      <c r="M243" s="1">
        <v>88911</v>
      </c>
      <c r="N243" s="1">
        <f t="shared" si="11"/>
        <v>0.20432631311849783</v>
      </c>
      <c r="O243" s="1">
        <f t="shared" si="12"/>
        <v>0.31808762581409117</v>
      </c>
    </row>
    <row r="244" spans="1:15" ht="42" x14ac:dyDescent="0.2">
      <c r="A244" s="1" t="str">
        <f t="shared" si="10"/>
        <v>PILAR</v>
      </c>
      <c r="B244" s="2" t="s">
        <v>161</v>
      </c>
      <c r="C244" s="2" t="s">
        <v>102</v>
      </c>
      <c r="D244" s="2" t="s">
        <v>35</v>
      </c>
      <c r="E244" s="2" t="s">
        <v>162</v>
      </c>
      <c r="F244" s="1">
        <v>1403</v>
      </c>
      <c r="H244" s="1">
        <v>468</v>
      </c>
      <c r="K244" s="1">
        <v>2497</v>
      </c>
      <c r="L244" s="1">
        <v>2629</v>
      </c>
      <c r="M244" s="1">
        <v>3724</v>
      </c>
      <c r="N244" s="1">
        <f t="shared" si="11"/>
        <v>0.5618742490989187</v>
      </c>
      <c r="O244" s="1">
        <f t="shared" si="12"/>
        <v>0.18742490989187024</v>
      </c>
    </row>
    <row r="245" spans="1:15" ht="51" x14ac:dyDescent="0.2">
      <c r="A245" s="1" t="str">
        <f t="shared" si="10"/>
        <v>PARTIDO DE PINAMAR</v>
      </c>
      <c r="B245" s="2" t="s">
        <v>161</v>
      </c>
      <c r="C245" s="2" t="s">
        <v>102</v>
      </c>
      <c r="D245" s="2" t="s">
        <v>122</v>
      </c>
      <c r="E245" s="2" t="s">
        <v>162</v>
      </c>
      <c r="F245" s="1">
        <v>5162</v>
      </c>
      <c r="H245" s="1">
        <v>8670</v>
      </c>
      <c r="K245" s="1">
        <v>17116</v>
      </c>
      <c r="L245" s="1">
        <v>18539</v>
      </c>
      <c r="M245" s="1">
        <v>37343</v>
      </c>
      <c r="N245" s="1">
        <f t="shared" si="11"/>
        <v>0.30158915634494038</v>
      </c>
      <c r="O245" s="1">
        <f t="shared" si="12"/>
        <v>0.5065435849497546</v>
      </c>
    </row>
    <row r="246" spans="1:15" ht="42" x14ac:dyDescent="0.2">
      <c r="A246" s="1" t="str">
        <f t="shared" si="10"/>
        <v>RAUCH</v>
      </c>
      <c r="B246" s="2" t="s">
        <v>161</v>
      </c>
      <c r="C246" s="2" t="s">
        <v>102</v>
      </c>
      <c r="D246" s="2" t="s">
        <v>123</v>
      </c>
      <c r="E246" s="2" t="s">
        <v>162</v>
      </c>
      <c r="F246" s="1">
        <v>4363</v>
      </c>
      <c r="H246" s="1">
        <v>1127</v>
      </c>
      <c r="K246" s="1">
        <v>8991</v>
      </c>
      <c r="L246" s="1">
        <v>9589</v>
      </c>
      <c r="M246" s="1">
        <v>14180</v>
      </c>
      <c r="N246" s="1">
        <f t="shared" si="11"/>
        <v>0.48526304081859639</v>
      </c>
      <c r="O246" s="1">
        <f t="shared" si="12"/>
        <v>0.12534756979201422</v>
      </c>
    </row>
    <row r="247" spans="1:15" ht="42" x14ac:dyDescent="0.2">
      <c r="A247" s="1" t="str">
        <f t="shared" si="10"/>
        <v>SAN CAYETANO</v>
      </c>
      <c r="B247" s="2" t="s">
        <v>161</v>
      </c>
      <c r="C247" s="2" t="s">
        <v>102</v>
      </c>
      <c r="D247" s="2" t="s">
        <v>124</v>
      </c>
      <c r="E247" s="2" t="s">
        <v>162</v>
      </c>
      <c r="F247" s="1">
        <v>1055</v>
      </c>
      <c r="H247" s="1">
        <v>858</v>
      </c>
      <c r="K247" s="1">
        <v>4529</v>
      </c>
      <c r="L247" s="1">
        <v>4679</v>
      </c>
      <c r="M247" s="1">
        <v>7496</v>
      </c>
      <c r="N247" s="1">
        <f t="shared" si="11"/>
        <v>0.23294325458158535</v>
      </c>
      <c r="O247" s="1">
        <f t="shared" si="12"/>
        <v>0.18944579377345994</v>
      </c>
    </row>
    <row r="248" spans="1:15" ht="42" x14ac:dyDescent="0.2">
      <c r="A248" s="1" t="str">
        <f t="shared" si="10"/>
        <v>TANDIL</v>
      </c>
      <c r="B248" s="2" t="s">
        <v>161</v>
      </c>
      <c r="C248" s="2" t="s">
        <v>102</v>
      </c>
      <c r="D248" s="2" t="s">
        <v>125</v>
      </c>
      <c r="E248" s="2" t="s">
        <v>162</v>
      </c>
      <c r="F248" s="1">
        <v>24773</v>
      </c>
      <c r="H248" s="1">
        <v>24251</v>
      </c>
      <c r="I248" s="1">
        <v>1835</v>
      </c>
      <c r="K248" s="1">
        <v>70283</v>
      </c>
      <c r="L248" s="1">
        <v>74877</v>
      </c>
      <c r="M248" s="1">
        <v>119911</v>
      </c>
      <c r="N248" s="1">
        <f t="shared" si="11"/>
        <v>0.35247499395301851</v>
      </c>
      <c r="O248" s="1">
        <f t="shared" si="12"/>
        <v>0.34504787786520213</v>
      </c>
    </row>
    <row r="249" spans="1:15" ht="42" x14ac:dyDescent="0.2">
      <c r="A249" s="1" t="str">
        <f t="shared" si="10"/>
        <v>TORDILLO</v>
      </c>
      <c r="B249" s="2" t="s">
        <v>161</v>
      </c>
      <c r="C249" s="2" t="s">
        <v>102</v>
      </c>
      <c r="D249" s="2" t="s">
        <v>126</v>
      </c>
      <c r="E249" s="2" t="s">
        <v>162</v>
      </c>
      <c r="F249" s="1">
        <v>773</v>
      </c>
      <c r="H249" s="1">
        <v>672</v>
      </c>
      <c r="K249" s="1">
        <v>1769</v>
      </c>
      <c r="L249" s="1">
        <v>1824</v>
      </c>
      <c r="M249" s="1">
        <v>2470</v>
      </c>
      <c r="N249" s="1">
        <f t="shared" si="11"/>
        <v>0.43697003957037872</v>
      </c>
      <c r="O249" s="1">
        <f t="shared" si="12"/>
        <v>0.37987563595251556</v>
      </c>
    </row>
    <row r="250" spans="1:15" ht="51" x14ac:dyDescent="0.2">
      <c r="A250" s="1" t="str">
        <f t="shared" si="10"/>
        <v>PARTIDO DE LA COSTA</v>
      </c>
      <c r="B250" s="2" t="s">
        <v>161</v>
      </c>
      <c r="C250" s="2" t="s">
        <v>102</v>
      </c>
      <c r="D250" s="2" t="s">
        <v>127</v>
      </c>
      <c r="E250" s="2" t="s">
        <v>162</v>
      </c>
      <c r="F250" s="1">
        <v>17654</v>
      </c>
      <c r="H250" s="1">
        <v>11792</v>
      </c>
      <c r="I250" s="1">
        <v>1455</v>
      </c>
      <c r="K250" s="1">
        <v>48176</v>
      </c>
      <c r="L250" s="1">
        <v>50309</v>
      </c>
      <c r="M250" s="1">
        <v>88966</v>
      </c>
      <c r="N250" s="1">
        <f t="shared" si="11"/>
        <v>0.36644802391232151</v>
      </c>
      <c r="O250" s="1">
        <f t="shared" si="12"/>
        <v>0.24476917967452674</v>
      </c>
    </row>
    <row r="251" spans="1:15" ht="51" x14ac:dyDescent="0.2">
      <c r="A251" s="1" t="str">
        <f t="shared" si="10"/>
        <v>PARTIDO DE VILLA GESELL</v>
      </c>
      <c r="B251" s="2" t="s">
        <v>161</v>
      </c>
      <c r="C251" s="2" t="s">
        <v>102</v>
      </c>
      <c r="D251" s="2" t="s">
        <v>164</v>
      </c>
      <c r="E251" s="2" t="s">
        <v>162</v>
      </c>
      <c r="F251" s="1">
        <v>6087</v>
      </c>
      <c r="H251" s="1">
        <v>6915</v>
      </c>
      <c r="I251" s="1">
        <v>502</v>
      </c>
      <c r="K251" s="1">
        <v>19137</v>
      </c>
      <c r="L251" s="1">
        <v>19987</v>
      </c>
      <c r="M251" s="1">
        <v>37075</v>
      </c>
      <c r="N251" s="1">
        <f t="shared" si="11"/>
        <v>0.31807493337513715</v>
      </c>
      <c r="O251" s="1">
        <f t="shared" si="12"/>
        <v>0.36134190311961123</v>
      </c>
    </row>
    <row r="252" spans="1:15" ht="42" x14ac:dyDescent="0.2">
      <c r="A252" s="1" t="str">
        <f t="shared" si="10"/>
        <v>LEZAMA</v>
      </c>
      <c r="B252" s="2" t="s">
        <v>161</v>
      </c>
      <c r="C252" s="2" t="s">
        <v>102</v>
      </c>
      <c r="D252" s="2" t="s">
        <v>129</v>
      </c>
      <c r="E252" s="2" t="s">
        <v>162</v>
      </c>
      <c r="F252" s="1">
        <v>1427</v>
      </c>
      <c r="H252" s="1">
        <v>674</v>
      </c>
      <c r="K252" s="1">
        <v>3321</v>
      </c>
      <c r="L252" s="1">
        <v>3536</v>
      </c>
      <c r="M252" s="1">
        <v>5140</v>
      </c>
      <c r="N252" s="1">
        <f t="shared" si="11"/>
        <v>0.42968985245408009</v>
      </c>
      <c r="O252" s="1">
        <f t="shared" si="12"/>
        <v>0.20295091839807286</v>
      </c>
    </row>
    <row r="253" spans="1:15" ht="42" x14ac:dyDescent="0.2">
      <c r="A253" s="1" t="str">
        <f t="shared" si="10"/>
        <v>SECCION SEXTA</v>
      </c>
      <c r="B253" s="2" t="s">
        <v>161</v>
      </c>
      <c r="C253" s="2" t="s">
        <v>130</v>
      </c>
      <c r="D253" s="2" t="s">
        <v>130</v>
      </c>
      <c r="E253" s="2" t="s">
        <v>21</v>
      </c>
      <c r="F253" s="1">
        <v>124118</v>
      </c>
      <c r="H253" s="1">
        <v>152082</v>
      </c>
      <c r="I253" s="1">
        <v>11259</v>
      </c>
      <c r="K253" s="1">
        <v>363216</v>
      </c>
      <c r="L253" s="1">
        <v>406064</v>
      </c>
      <c r="M253" s="1">
        <v>672483</v>
      </c>
      <c r="N253" s="1">
        <f t="shared" si="11"/>
        <v>0.34171952777410686</v>
      </c>
      <c r="O253" s="1">
        <f t="shared" si="12"/>
        <v>0.4187095282146161</v>
      </c>
    </row>
    <row r="254" spans="1:15" ht="42" x14ac:dyDescent="0.2">
      <c r="A254" s="1" t="str">
        <f t="shared" si="10"/>
        <v>ADOLFO ALSINA</v>
      </c>
      <c r="B254" s="2" t="s">
        <v>161</v>
      </c>
      <c r="C254" s="2" t="s">
        <v>130</v>
      </c>
      <c r="D254" s="2" t="s">
        <v>131</v>
      </c>
      <c r="E254" s="2" t="s">
        <v>162</v>
      </c>
      <c r="F254" s="1">
        <v>2519</v>
      </c>
      <c r="H254" s="1">
        <v>3145</v>
      </c>
      <c r="K254" s="1">
        <v>7704</v>
      </c>
      <c r="L254" s="1">
        <v>8470</v>
      </c>
      <c r="M254" s="1">
        <v>14552</v>
      </c>
      <c r="N254" s="1">
        <f t="shared" si="11"/>
        <v>0.32697300103842158</v>
      </c>
      <c r="O254" s="1">
        <f t="shared" si="12"/>
        <v>0.40822949117341639</v>
      </c>
    </row>
    <row r="255" spans="1:15" ht="42" x14ac:dyDescent="0.2">
      <c r="A255" s="1" t="str">
        <f t="shared" si="10"/>
        <v>BAHIA BLANCA</v>
      </c>
      <c r="B255" s="2" t="s">
        <v>161</v>
      </c>
      <c r="C255" s="2" t="s">
        <v>130</v>
      </c>
      <c r="D255" s="2" t="s">
        <v>132</v>
      </c>
      <c r="E255" s="2" t="s">
        <v>162</v>
      </c>
      <c r="F255" s="1">
        <v>47294</v>
      </c>
      <c r="H255" s="1">
        <v>70530</v>
      </c>
      <c r="I255" s="1">
        <v>7152</v>
      </c>
      <c r="K255" s="1">
        <v>151627</v>
      </c>
      <c r="L255" s="1">
        <v>161714</v>
      </c>
      <c r="M255" s="1">
        <v>266033</v>
      </c>
      <c r="N255" s="1">
        <f t="shared" si="11"/>
        <v>0.31191014792879895</v>
      </c>
      <c r="O255" s="1">
        <f t="shared" si="12"/>
        <v>0.46515462285740666</v>
      </c>
    </row>
    <row r="256" spans="1:15" ht="42" x14ac:dyDescent="0.2">
      <c r="A256" s="1" t="str">
        <f t="shared" si="10"/>
        <v>PATAGONES</v>
      </c>
      <c r="B256" s="2" t="s">
        <v>161</v>
      </c>
      <c r="C256" s="2" t="s">
        <v>130</v>
      </c>
      <c r="D256" s="2" t="s">
        <v>133</v>
      </c>
      <c r="E256" s="2" t="s">
        <v>162</v>
      </c>
      <c r="F256" s="1">
        <v>5950</v>
      </c>
      <c r="H256" s="1">
        <v>4905</v>
      </c>
      <c r="K256" s="1">
        <v>14304</v>
      </c>
      <c r="L256" s="1">
        <v>15491</v>
      </c>
      <c r="M256" s="1">
        <v>30237</v>
      </c>
      <c r="N256" s="1">
        <f t="shared" si="11"/>
        <v>0.4159675615212528</v>
      </c>
      <c r="O256" s="1">
        <f t="shared" si="12"/>
        <v>0.34291107382550334</v>
      </c>
    </row>
    <row r="257" spans="1:15" ht="42" x14ac:dyDescent="0.2">
      <c r="A257" s="1" t="str">
        <f t="shared" si="10"/>
        <v>CORONEL DORREGO</v>
      </c>
      <c r="B257" s="2" t="s">
        <v>161</v>
      </c>
      <c r="C257" s="2" t="s">
        <v>130</v>
      </c>
      <c r="D257" s="2" t="s">
        <v>134</v>
      </c>
      <c r="E257" s="2" t="s">
        <v>162</v>
      </c>
      <c r="F257" s="1">
        <v>2355</v>
      </c>
      <c r="H257" s="1">
        <v>3152</v>
      </c>
      <c r="K257" s="1">
        <v>8497</v>
      </c>
      <c r="L257" s="1">
        <v>9138</v>
      </c>
      <c r="M257" s="1">
        <v>14099</v>
      </c>
      <c r="N257" s="1">
        <f t="shared" si="11"/>
        <v>0.27715664352124281</v>
      </c>
      <c r="O257" s="1">
        <f t="shared" si="12"/>
        <v>0.37095445451335768</v>
      </c>
    </row>
    <row r="258" spans="1:15" ht="42" x14ac:dyDescent="0.2">
      <c r="A258" s="1" t="str">
        <f t="shared" si="10"/>
        <v>CORONEL PRINGLES</v>
      </c>
      <c r="B258" s="2" t="s">
        <v>161</v>
      </c>
      <c r="C258" s="2" t="s">
        <v>130</v>
      </c>
      <c r="D258" s="2" t="s">
        <v>135</v>
      </c>
      <c r="E258" s="2" t="s">
        <v>162</v>
      </c>
      <c r="F258" s="1">
        <v>3067</v>
      </c>
      <c r="H258" s="1">
        <v>5476</v>
      </c>
      <c r="I258" s="1">
        <v>814</v>
      </c>
      <c r="K258" s="1">
        <v>11404</v>
      </c>
      <c r="L258" s="1">
        <v>12252</v>
      </c>
      <c r="M258" s="1">
        <v>20651</v>
      </c>
      <c r="N258" s="1">
        <f t="shared" si="11"/>
        <v>0.26894072255349</v>
      </c>
      <c r="O258" s="1">
        <f t="shared" si="12"/>
        <v>0.48018239214310771</v>
      </c>
    </row>
    <row r="259" spans="1:15" ht="42" x14ac:dyDescent="0.2">
      <c r="A259" s="1" t="str">
        <f t="shared" ref="A259:A322" si="13">D259</f>
        <v>CORONEL ROSALES</v>
      </c>
      <c r="B259" s="2" t="s">
        <v>161</v>
      </c>
      <c r="C259" s="2" t="s">
        <v>130</v>
      </c>
      <c r="D259" s="2" t="s">
        <v>136</v>
      </c>
      <c r="E259" s="2" t="s">
        <v>162</v>
      </c>
      <c r="F259" s="1">
        <v>7300</v>
      </c>
      <c r="H259" s="1">
        <v>14550</v>
      </c>
      <c r="I259" s="1">
        <v>1027</v>
      </c>
      <c r="K259" s="1">
        <v>32291</v>
      </c>
      <c r="L259" s="1">
        <v>34441</v>
      </c>
      <c r="M259" s="1">
        <v>52755</v>
      </c>
      <c r="N259" s="1">
        <f t="shared" ref="N259:N322" si="14">F259/K259</f>
        <v>0.22606918336378556</v>
      </c>
      <c r="O259" s="1">
        <f t="shared" si="12"/>
        <v>0.45058994766343563</v>
      </c>
    </row>
    <row r="260" spans="1:15" ht="42" x14ac:dyDescent="0.2">
      <c r="A260" s="1" t="str">
        <f t="shared" si="13"/>
        <v>CORONEL SUAREZ</v>
      </c>
      <c r="B260" s="2" t="s">
        <v>161</v>
      </c>
      <c r="C260" s="2" t="s">
        <v>130</v>
      </c>
      <c r="D260" s="2" t="s">
        <v>137</v>
      </c>
      <c r="E260" s="2" t="s">
        <v>162</v>
      </c>
      <c r="F260" s="1">
        <v>2153</v>
      </c>
      <c r="H260" s="1">
        <v>4922</v>
      </c>
      <c r="I260" s="1">
        <v>705</v>
      </c>
      <c r="K260" s="1">
        <v>20241</v>
      </c>
      <c r="L260" s="1">
        <v>22001</v>
      </c>
      <c r="M260" s="1">
        <v>35587</v>
      </c>
      <c r="N260" s="1">
        <f t="shared" si="14"/>
        <v>0.10636826243762659</v>
      </c>
      <c r="O260" s="1">
        <f t="shared" si="12"/>
        <v>0.24316980386344547</v>
      </c>
    </row>
    <row r="261" spans="1:15" ht="42" x14ac:dyDescent="0.2">
      <c r="A261" s="1" t="str">
        <f t="shared" si="13"/>
        <v>DAIREAUX</v>
      </c>
      <c r="B261" s="2" t="s">
        <v>161</v>
      </c>
      <c r="C261" s="2" t="s">
        <v>130</v>
      </c>
      <c r="D261" s="2" t="s">
        <v>138</v>
      </c>
      <c r="E261" s="2" t="s">
        <v>162</v>
      </c>
      <c r="F261" s="1">
        <v>4112</v>
      </c>
      <c r="H261" s="1">
        <v>2294</v>
      </c>
      <c r="K261" s="1">
        <v>8784</v>
      </c>
      <c r="L261" s="1">
        <v>9202</v>
      </c>
      <c r="M261" s="1">
        <v>15528</v>
      </c>
      <c r="N261" s="1">
        <f t="shared" si="14"/>
        <v>0.4681238615664845</v>
      </c>
      <c r="O261" s="1">
        <f t="shared" si="12"/>
        <v>0.26115664845173042</v>
      </c>
    </row>
    <row r="262" spans="1:15" ht="42" x14ac:dyDescent="0.2">
      <c r="A262" s="1" t="str">
        <f t="shared" si="13"/>
        <v>GENERAL LA MADRID</v>
      </c>
      <c r="B262" s="2" t="s">
        <v>161</v>
      </c>
      <c r="C262" s="2" t="s">
        <v>130</v>
      </c>
      <c r="D262" s="2" t="s">
        <v>139</v>
      </c>
      <c r="E262" s="2" t="s">
        <v>162</v>
      </c>
      <c r="F262" s="1">
        <v>1921</v>
      </c>
      <c r="H262" s="1">
        <v>1341</v>
      </c>
      <c r="K262" s="1">
        <v>5432</v>
      </c>
      <c r="L262" s="1">
        <v>5948</v>
      </c>
      <c r="M262" s="1">
        <v>9949</v>
      </c>
      <c r="N262" s="1">
        <f t="shared" si="14"/>
        <v>0.35364506627393227</v>
      </c>
      <c r="O262" s="1">
        <f t="shared" si="12"/>
        <v>0.24687039764359353</v>
      </c>
    </row>
    <row r="263" spans="1:15" ht="51" x14ac:dyDescent="0.2">
      <c r="A263" s="1" t="str">
        <f t="shared" si="13"/>
        <v>ADOLFO GONZALES CHAVES</v>
      </c>
      <c r="B263" s="2" t="s">
        <v>161</v>
      </c>
      <c r="C263" s="2" t="s">
        <v>130</v>
      </c>
      <c r="D263" s="2" t="s">
        <v>165</v>
      </c>
      <c r="E263" s="2" t="s">
        <v>162</v>
      </c>
      <c r="F263" s="1">
        <v>2437</v>
      </c>
      <c r="H263" s="1">
        <v>1048</v>
      </c>
      <c r="K263" s="1">
        <v>6141</v>
      </c>
      <c r="L263" s="1">
        <v>6616</v>
      </c>
      <c r="M263" s="1">
        <v>10923</v>
      </c>
      <c r="N263" s="1">
        <f t="shared" si="14"/>
        <v>0.39684090539000161</v>
      </c>
      <c r="O263" s="1">
        <f t="shared" si="12"/>
        <v>0.17065624491125225</v>
      </c>
    </row>
    <row r="264" spans="1:15" ht="42" x14ac:dyDescent="0.2">
      <c r="A264" s="1" t="str">
        <f t="shared" si="13"/>
        <v>GUAMINI</v>
      </c>
      <c r="B264" s="2" t="s">
        <v>161</v>
      </c>
      <c r="C264" s="2" t="s">
        <v>130</v>
      </c>
      <c r="D264" s="2" t="s">
        <v>141</v>
      </c>
      <c r="E264" s="2" t="s">
        <v>162</v>
      </c>
      <c r="F264" s="1">
        <v>2681</v>
      </c>
      <c r="H264" s="1">
        <v>1585</v>
      </c>
      <c r="K264" s="1">
        <v>5944</v>
      </c>
      <c r="L264" s="1">
        <v>6364</v>
      </c>
      <c r="M264" s="1">
        <v>10202</v>
      </c>
      <c r="N264" s="1">
        <f t="shared" si="14"/>
        <v>0.45104306864064603</v>
      </c>
      <c r="O264" s="1">
        <f t="shared" si="12"/>
        <v>0.26665545087483178</v>
      </c>
    </row>
    <row r="265" spans="1:15" ht="42" x14ac:dyDescent="0.2">
      <c r="A265" s="1" t="str">
        <f t="shared" si="13"/>
        <v>BENITO JUAREZ</v>
      </c>
      <c r="B265" s="2" t="s">
        <v>161</v>
      </c>
      <c r="C265" s="2" t="s">
        <v>130</v>
      </c>
      <c r="D265" s="2" t="s">
        <v>142</v>
      </c>
      <c r="E265" s="2" t="s">
        <v>162</v>
      </c>
      <c r="F265" s="1">
        <v>4753</v>
      </c>
      <c r="H265" s="1">
        <v>2566</v>
      </c>
      <c r="K265" s="1">
        <v>10779</v>
      </c>
      <c r="L265" s="1">
        <v>11395</v>
      </c>
      <c r="M265" s="1">
        <v>18129</v>
      </c>
      <c r="N265" s="1">
        <f t="shared" si="14"/>
        <v>0.44094999536135077</v>
      </c>
      <c r="O265" s="1">
        <f t="shared" si="12"/>
        <v>0.23805547824473514</v>
      </c>
    </row>
    <row r="266" spans="1:15" ht="42" x14ac:dyDescent="0.2">
      <c r="A266" s="1" t="str">
        <f t="shared" si="13"/>
        <v>LAPRIDA</v>
      </c>
      <c r="B266" s="2" t="s">
        <v>161</v>
      </c>
      <c r="C266" s="2" t="s">
        <v>130</v>
      </c>
      <c r="D266" s="2" t="s">
        <v>143</v>
      </c>
      <c r="E266" s="2" t="s">
        <v>162</v>
      </c>
      <c r="F266" s="1">
        <v>2798</v>
      </c>
      <c r="H266" s="1">
        <v>2080</v>
      </c>
      <c r="K266" s="1">
        <v>6107</v>
      </c>
      <c r="L266" s="1">
        <v>6356</v>
      </c>
      <c r="M266" s="1">
        <v>10018</v>
      </c>
      <c r="N266" s="1">
        <f t="shared" si="14"/>
        <v>0.4581627640412641</v>
      </c>
      <c r="O266" s="1">
        <f t="shared" si="12"/>
        <v>0.34059276240379893</v>
      </c>
    </row>
    <row r="267" spans="1:15" ht="42" x14ac:dyDescent="0.2">
      <c r="A267" s="1" t="str">
        <f t="shared" si="13"/>
        <v>PELLEGRINI</v>
      </c>
      <c r="B267" s="2" t="s">
        <v>161</v>
      </c>
      <c r="C267" s="2" t="s">
        <v>130</v>
      </c>
      <c r="D267" s="2" t="s">
        <v>144</v>
      </c>
      <c r="E267" s="2" t="s">
        <v>162</v>
      </c>
      <c r="F267" s="1">
        <v>1314</v>
      </c>
      <c r="H267" s="1">
        <v>769</v>
      </c>
      <c r="K267" s="1">
        <v>3445</v>
      </c>
      <c r="L267" s="1">
        <v>3564</v>
      </c>
      <c r="M267" s="1">
        <v>5326</v>
      </c>
      <c r="N267" s="1">
        <f t="shared" si="14"/>
        <v>0.38142235123367196</v>
      </c>
      <c r="O267" s="1">
        <f t="shared" si="12"/>
        <v>0.22322206095791</v>
      </c>
    </row>
    <row r="268" spans="1:15" ht="42" x14ac:dyDescent="0.2">
      <c r="A268" s="1" t="str">
        <f t="shared" si="13"/>
        <v>PUAN</v>
      </c>
      <c r="B268" s="2" t="s">
        <v>161</v>
      </c>
      <c r="C268" s="2" t="s">
        <v>130</v>
      </c>
      <c r="D268" s="2" t="s">
        <v>145</v>
      </c>
      <c r="E268" s="2" t="s">
        <v>162</v>
      </c>
      <c r="F268" s="1">
        <v>1450</v>
      </c>
      <c r="H268" s="1">
        <v>3444</v>
      </c>
      <c r="I268" s="1">
        <v>203</v>
      </c>
      <c r="K268" s="1">
        <v>8128</v>
      </c>
      <c r="L268" s="1">
        <v>8732</v>
      </c>
      <c r="M268" s="1">
        <v>14321</v>
      </c>
      <c r="N268" s="1">
        <f t="shared" si="14"/>
        <v>0.17839566929133857</v>
      </c>
      <c r="O268" s="1">
        <f t="shared" si="12"/>
        <v>0.42372047244094491</v>
      </c>
    </row>
    <row r="269" spans="1:15" ht="42" x14ac:dyDescent="0.2">
      <c r="A269" s="1" t="str">
        <f t="shared" si="13"/>
        <v>SAAVEDRA</v>
      </c>
      <c r="B269" s="2" t="s">
        <v>161</v>
      </c>
      <c r="C269" s="2" t="s">
        <v>130</v>
      </c>
      <c r="D269" s="2" t="s">
        <v>146</v>
      </c>
      <c r="E269" s="2" t="s">
        <v>162</v>
      </c>
      <c r="F269" s="1">
        <v>2093</v>
      </c>
      <c r="H269" s="1">
        <v>3141</v>
      </c>
      <c r="K269" s="1">
        <v>9841</v>
      </c>
      <c r="L269" s="1">
        <v>10990</v>
      </c>
      <c r="M269" s="1">
        <v>18999</v>
      </c>
      <c r="N269" s="1">
        <f t="shared" si="14"/>
        <v>0.21268163804491413</v>
      </c>
      <c r="O269" s="1">
        <f t="shared" si="12"/>
        <v>0.3191748806015649</v>
      </c>
    </row>
    <row r="270" spans="1:15" ht="42" x14ac:dyDescent="0.2">
      <c r="A270" s="1" t="str">
        <f t="shared" si="13"/>
        <v>SALLIQUELO</v>
      </c>
      <c r="B270" s="2" t="s">
        <v>161</v>
      </c>
      <c r="C270" s="2" t="s">
        <v>130</v>
      </c>
      <c r="D270" s="2" t="s">
        <v>147</v>
      </c>
      <c r="E270" s="2" t="s">
        <v>162</v>
      </c>
      <c r="F270" s="1">
        <v>2493</v>
      </c>
      <c r="H270" s="1">
        <v>907</v>
      </c>
      <c r="K270" s="1">
        <v>4750</v>
      </c>
      <c r="L270" s="1">
        <v>4984</v>
      </c>
      <c r="M270" s="1">
        <v>7937</v>
      </c>
      <c r="N270" s="1">
        <f t="shared" si="14"/>
        <v>0.52484210526315789</v>
      </c>
      <c r="O270" s="1">
        <f t="shared" si="12"/>
        <v>0.19094736842105264</v>
      </c>
    </row>
    <row r="271" spans="1:15" ht="42" x14ac:dyDescent="0.2">
      <c r="A271" s="1" t="str">
        <f t="shared" si="13"/>
        <v>TORQUINST</v>
      </c>
      <c r="B271" s="2" t="s">
        <v>161</v>
      </c>
      <c r="C271" s="2" t="s">
        <v>130</v>
      </c>
      <c r="D271" s="2" t="s">
        <v>166</v>
      </c>
      <c r="E271" s="2" t="s">
        <v>162</v>
      </c>
      <c r="F271" s="1">
        <v>4056</v>
      </c>
      <c r="H271" s="1">
        <v>3229</v>
      </c>
      <c r="K271" s="1">
        <v>9016</v>
      </c>
      <c r="L271" s="1">
        <v>9660</v>
      </c>
      <c r="M271" s="1">
        <v>16637</v>
      </c>
      <c r="N271" s="1">
        <f t="shared" si="14"/>
        <v>0.44986690328305234</v>
      </c>
      <c r="O271" s="1">
        <f t="shared" si="12"/>
        <v>0.35814108251996452</v>
      </c>
    </row>
    <row r="272" spans="1:15" ht="42" x14ac:dyDescent="0.2">
      <c r="A272" s="1" t="str">
        <f t="shared" si="13"/>
        <v>TRES ARROYOS</v>
      </c>
      <c r="B272" s="2" t="s">
        <v>161</v>
      </c>
      <c r="C272" s="2" t="s">
        <v>130</v>
      </c>
      <c r="D272" s="2" t="s">
        <v>149</v>
      </c>
      <c r="E272" s="2" t="s">
        <v>162</v>
      </c>
      <c r="F272" s="1">
        <v>12291</v>
      </c>
      <c r="H272" s="1">
        <v>6975</v>
      </c>
      <c r="I272" s="1">
        <v>546</v>
      </c>
      <c r="K272" s="1">
        <v>30153</v>
      </c>
      <c r="L272" s="1">
        <v>32036</v>
      </c>
      <c r="M272" s="1">
        <v>54792</v>
      </c>
      <c r="N272" s="1">
        <f t="shared" si="14"/>
        <v>0.40762113222564916</v>
      </c>
      <c r="O272" s="1">
        <f t="shared" si="12"/>
        <v>0.2313202666401353</v>
      </c>
    </row>
    <row r="273" spans="1:15" ht="42" x14ac:dyDescent="0.2">
      <c r="A273" s="1" t="str">
        <f t="shared" si="13"/>
        <v>MONTE HERMOSO</v>
      </c>
      <c r="B273" s="2" t="s">
        <v>161</v>
      </c>
      <c r="C273" s="2" t="s">
        <v>130</v>
      </c>
      <c r="D273" s="2" t="s">
        <v>150</v>
      </c>
      <c r="E273" s="2" t="s">
        <v>162</v>
      </c>
      <c r="F273" s="1">
        <v>3300</v>
      </c>
      <c r="H273" s="1">
        <v>1345</v>
      </c>
      <c r="K273" s="1">
        <v>5791</v>
      </c>
      <c r="L273" s="1">
        <v>6052</v>
      </c>
      <c r="M273" s="1">
        <v>9929</v>
      </c>
      <c r="N273" s="1">
        <f t="shared" si="14"/>
        <v>0.56984976687964084</v>
      </c>
      <c r="O273" s="1">
        <f t="shared" ref="O273:O336" si="15">H273/K273</f>
        <v>0.23225695044033845</v>
      </c>
    </row>
    <row r="274" spans="1:15" ht="42" x14ac:dyDescent="0.2">
      <c r="A274" s="1" t="str">
        <f t="shared" si="13"/>
        <v>VILLARINO</v>
      </c>
      <c r="B274" s="2" t="s">
        <v>161</v>
      </c>
      <c r="C274" s="2" t="s">
        <v>130</v>
      </c>
      <c r="D274" s="2" t="s">
        <v>151</v>
      </c>
      <c r="E274" s="2" t="s">
        <v>162</v>
      </c>
      <c r="F274" s="1">
        <v>2838</v>
      </c>
      <c r="H274" s="1">
        <v>2933</v>
      </c>
      <c r="K274" s="1">
        <v>14931</v>
      </c>
      <c r="L274" s="1">
        <v>16086</v>
      </c>
      <c r="M274" s="1">
        <v>28855</v>
      </c>
      <c r="N274" s="1">
        <f t="shared" si="14"/>
        <v>0.19007434197307616</v>
      </c>
      <c r="O274" s="1">
        <f t="shared" si="15"/>
        <v>0.19643694327238631</v>
      </c>
    </row>
    <row r="275" spans="1:15" ht="42" x14ac:dyDescent="0.2">
      <c r="A275" s="1" t="str">
        <f t="shared" si="13"/>
        <v>TRES LOMAS</v>
      </c>
      <c r="B275" s="2" t="s">
        <v>161</v>
      </c>
      <c r="C275" s="2" t="s">
        <v>130</v>
      </c>
      <c r="D275" s="2" t="s">
        <v>152</v>
      </c>
      <c r="E275" s="2" t="s">
        <v>162</v>
      </c>
      <c r="F275" s="1">
        <v>1799</v>
      </c>
      <c r="H275" s="1">
        <v>837</v>
      </c>
      <c r="K275" s="1">
        <v>4275</v>
      </c>
      <c r="L275" s="1">
        <v>4572</v>
      </c>
      <c r="M275" s="1">
        <v>7024</v>
      </c>
      <c r="N275" s="1">
        <f t="shared" si="14"/>
        <v>0.42081871345029243</v>
      </c>
      <c r="O275" s="1">
        <f t="shared" si="15"/>
        <v>0.19578947368421051</v>
      </c>
    </row>
    <row r="276" spans="1:15" ht="42" x14ac:dyDescent="0.2">
      <c r="A276" s="1" t="str">
        <f t="shared" si="13"/>
        <v>SECCION SEPTIMA</v>
      </c>
      <c r="B276" s="2" t="s">
        <v>161</v>
      </c>
      <c r="C276" s="2" t="s">
        <v>153</v>
      </c>
      <c r="D276" s="2" t="s">
        <v>153</v>
      </c>
      <c r="E276" s="2" t="s">
        <v>18</v>
      </c>
      <c r="F276" s="1">
        <v>59166</v>
      </c>
      <c r="H276" s="1">
        <v>50927</v>
      </c>
      <c r="I276" s="1">
        <v>3830</v>
      </c>
      <c r="K276" s="1">
        <v>154585</v>
      </c>
      <c r="L276" s="1">
        <v>175859</v>
      </c>
      <c r="M276" s="1">
        <v>285047</v>
      </c>
      <c r="N276" s="1">
        <f t="shared" si="14"/>
        <v>0.3827408868907074</v>
      </c>
      <c r="O276" s="1">
        <f t="shared" si="15"/>
        <v>0.32944334831969468</v>
      </c>
    </row>
    <row r="277" spans="1:15" ht="42" x14ac:dyDescent="0.2">
      <c r="A277" s="1" t="str">
        <f t="shared" si="13"/>
        <v>AZUL</v>
      </c>
      <c r="B277" s="2" t="s">
        <v>161</v>
      </c>
      <c r="C277" s="2" t="s">
        <v>153</v>
      </c>
      <c r="D277" s="2" t="s">
        <v>154</v>
      </c>
      <c r="E277" s="2" t="s">
        <v>162</v>
      </c>
      <c r="F277" s="1">
        <v>11798</v>
      </c>
      <c r="H277" s="1">
        <v>11938</v>
      </c>
      <c r="I277" s="1">
        <v>844</v>
      </c>
      <c r="K277" s="1">
        <v>33661</v>
      </c>
      <c r="L277" s="1">
        <v>36123</v>
      </c>
      <c r="M277" s="1">
        <v>60070</v>
      </c>
      <c r="N277" s="1">
        <f t="shared" si="14"/>
        <v>0.35049463771129796</v>
      </c>
      <c r="O277" s="1">
        <f t="shared" si="15"/>
        <v>0.35465375360209145</v>
      </c>
    </row>
    <row r="278" spans="1:15" ht="42" x14ac:dyDescent="0.2">
      <c r="A278" s="1" t="str">
        <f t="shared" si="13"/>
        <v>BOLIVAR</v>
      </c>
      <c r="B278" s="2" t="s">
        <v>161</v>
      </c>
      <c r="C278" s="2" t="s">
        <v>153</v>
      </c>
      <c r="D278" s="2" t="s">
        <v>155</v>
      </c>
      <c r="E278" s="2" t="s">
        <v>162</v>
      </c>
      <c r="F278" s="1">
        <v>7289</v>
      </c>
      <c r="H278" s="1">
        <v>4153</v>
      </c>
      <c r="I278" s="1">
        <v>474</v>
      </c>
      <c r="K278" s="1">
        <v>19245</v>
      </c>
      <c r="L278" s="1">
        <v>20319</v>
      </c>
      <c r="M278" s="1">
        <v>31766</v>
      </c>
      <c r="N278" s="1">
        <f t="shared" si="14"/>
        <v>0.37874772668225515</v>
      </c>
      <c r="O278" s="1">
        <f t="shared" si="15"/>
        <v>0.21579631073005975</v>
      </c>
    </row>
    <row r="279" spans="1:15" ht="42" x14ac:dyDescent="0.2">
      <c r="A279" s="1" t="str">
        <f t="shared" si="13"/>
        <v>GENERAL ALVEAR</v>
      </c>
      <c r="B279" s="2" t="s">
        <v>161</v>
      </c>
      <c r="C279" s="2" t="s">
        <v>153</v>
      </c>
      <c r="D279" s="2" t="s">
        <v>156</v>
      </c>
      <c r="E279" s="2" t="s">
        <v>162</v>
      </c>
      <c r="F279" s="1">
        <v>1620</v>
      </c>
      <c r="H279" s="1">
        <v>700</v>
      </c>
      <c r="K279" s="1">
        <v>5724</v>
      </c>
      <c r="L279" s="1">
        <v>5979</v>
      </c>
      <c r="M279" s="1">
        <v>9092</v>
      </c>
      <c r="N279" s="1">
        <f t="shared" si="14"/>
        <v>0.28301886792452829</v>
      </c>
      <c r="O279" s="1">
        <f t="shared" si="15"/>
        <v>0.1222921034241789</v>
      </c>
    </row>
    <row r="280" spans="1:15" ht="42" x14ac:dyDescent="0.2">
      <c r="A280" s="1" t="str">
        <f t="shared" si="13"/>
        <v>OLAVARRIA</v>
      </c>
      <c r="B280" s="2" t="s">
        <v>161</v>
      </c>
      <c r="C280" s="2" t="s">
        <v>153</v>
      </c>
      <c r="D280" s="2" t="s">
        <v>157</v>
      </c>
      <c r="E280" s="2" t="s">
        <v>162</v>
      </c>
      <c r="F280" s="1">
        <v>22233</v>
      </c>
      <c r="H280" s="1">
        <v>20159</v>
      </c>
      <c r="I280" s="1">
        <v>1997</v>
      </c>
      <c r="K280" s="1">
        <v>57195</v>
      </c>
      <c r="L280" s="1">
        <v>60751</v>
      </c>
      <c r="M280" s="1">
        <v>101087</v>
      </c>
      <c r="N280" s="1">
        <f t="shared" si="14"/>
        <v>0.388722790453711</v>
      </c>
      <c r="O280" s="1">
        <f t="shared" si="15"/>
        <v>0.35246087944750415</v>
      </c>
    </row>
    <row r="281" spans="1:15" ht="42" x14ac:dyDescent="0.2">
      <c r="A281" s="1" t="str">
        <f t="shared" si="13"/>
        <v>ROQUE PEREZ</v>
      </c>
      <c r="B281" s="2" t="s">
        <v>161</v>
      </c>
      <c r="C281" s="2" t="s">
        <v>153</v>
      </c>
      <c r="D281" s="2" t="s">
        <v>158</v>
      </c>
      <c r="E281" s="2" t="s">
        <v>162</v>
      </c>
      <c r="F281" s="1">
        <v>1593</v>
      </c>
      <c r="H281" s="1">
        <v>1080</v>
      </c>
      <c r="K281" s="1">
        <v>7323</v>
      </c>
      <c r="L281" s="1">
        <v>7749</v>
      </c>
      <c r="M281" s="1">
        <v>11804</v>
      </c>
      <c r="N281" s="1">
        <f t="shared" si="14"/>
        <v>0.21753379762392461</v>
      </c>
      <c r="O281" s="1">
        <f t="shared" si="15"/>
        <v>0.1474805407619828</v>
      </c>
    </row>
    <row r="282" spans="1:15" ht="42" x14ac:dyDescent="0.2">
      <c r="A282" s="1" t="str">
        <f t="shared" si="13"/>
        <v>SALADILLO</v>
      </c>
      <c r="B282" s="2" t="s">
        <v>161</v>
      </c>
      <c r="C282" s="2" t="s">
        <v>153</v>
      </c>
      <c r="D282" s="2" t="s">
        <v>159</v>
      </c>
      <c r="E282" s="2" t="s">
        <v>162</v>
      </c>
      <c r="F282" s="1">
        <v>5034</v>
      </c>
      <c r="H282" s="1">
        <v>3865</v>
      </c>
      <c r="K282" s="1">
        <v>17425</v>
      </c>
      <c r="L282" s="1">
        <v>18571</v>
      </c>
      <c r="M282" s="1">
        <v>30120</v>
      </c>
      <c r="N282" s="1">
        <f t="shared" si="14"/>
        <v>0.28889526542324245</v>
      </c>
      <c r="O282" s="1">
        <f t="shared" si="15"/>
        <v>0.22180774748923959</v>
      </c>
    </row>
    <row r="283" spans="1:15" ht="42" x14ac:dyDescent="0.2">
      <c r="A283" s="1" t="str">
        <f t="shared" si="13"/>
        <v>TAPALQUE</v>
      </c>
      <c r="B283" s="2" t="s">
        <v>161</v>
      </c>
      <c r="C283" s="2" t="s">
        <v>153</v>
      </c>
      <c r="D283" s="2" t="s">
        <v>160</v>
      </c>
      <c r="E283" s="2" t="s">
        <v>162</v>
      </c>
      <c r="F283" s="1">
        <v>2490</v>
      </c>
      <c r="H283" s="1">
        <v>1250</v>
      </c>
      <c r="K283" s="1">
        <v>5213</v>
      </c>
      <c r="L283" s="1">
        <v>5714</v>
      </c>
      <c r="M283" s="1">
        <v>9013</v>
      </c>
      <c r="N283" s="1">
        <f t="shared" si="14"/>
        <v>0.47765202378668714</v>
      </c>
      <c r="O283" s="1">
        <f t="shared" si="15"/>
        <v>0.239785152503357</v>
      </c>
    </row>
    <row r="284" spans="1:15" ht="42" x14ac:dyDescent="0.2">
      <c r="A284" s="1" t="str">
        <f t="shared" si="13"/>
        <v>25 DE MAYO</v>
      </c>
      <c r="B284" s="2" t="s">
        <v>161</v>
      </c>
      <c r="C284" s="2" t="s">
        <v>153</v>
      </c>
      <c r="D284" s="2" t="s">
        <v>167</v>
      </c>
      <c r="E284" s="2" t="s">
        <v>162</v>
      </c>
      <c r="F284" s="1">
        <v>7018</v>
      </c>
      <c r="H284" s="1">
        <v>2701</v>
      </c>
      <c r="K284" s="1">
        <v>19004</v>
      </c>
      <c r="L284" s="1">
        <v>20653</v>
      </c>
      <c r="M284" s="1">
        <v>32095</v>
      </c>
      <c r="N284" s="1">
        <f t="shared" si="14"/>
        <v>0.36929067564723217</v>
      </c>
      <c r="O284" s="1">
        <f t="shared" si="15"/>
        <v>0.14212797305830352</v>
      </c>
    </row>
    <row r="285" spans="1:15" ht="42" x14ac:dyDescent="0.2">
      <c r="A285" s="1" t="str">
        <f t="shared" si="13"/>
        <v>QUILMES</v>
      </c>
      <c r="B285" s="2" t="s">
        <v>161</v>
      </c>
      <c r="C285" s="2" t="s">
        <v>62</v>
      </c>
      <c r="D285" s="2" t="s">
        <v>77</v>
      </c>
      <c r="E285" s="2" t="s">
        <v>162</v>
      </c>
      <c r="F285" s="1">
        <v>153458</v>
      </c>
      <c r="H285" s="1">
        <v>99280</v>
      </c>
      <c r="K285" s="1">
        <v>316947</v>
      </c>
      <c r="L285" s="1">
        <v>326508</v>
      </c>
      <c r="M285" s="1">
        <v>525087</v>
      </c>
      <c r="N285" s="1">
        <f t="shared" si="14"/>
        <v>0.48417558771655828</v>
      </c>
      <c r="O285" s="1">
        <f t="shared" si="15"/>
        <v>0.31323849097798684</v>
      </c>
    </row>
    <row r="286" spans="1:15" ht="42" x14ac:dyDescent="0.2">
      <c r="A286" s="1" t="str">
        <f t="shared" si="13"/>
        <v xml:space="preserve">PILA </v>
      </c>
      <c r="B286" s="2" t="s">
        <v>161</v>
      </c>
      <c r="C286" s="2" t="s">
        <v>102</v>
      </c>
      <c r="D286" s="2" t="s">
        <v>168</v>
      </c>
      <c r="E286" s="2" t="s">
        <v>162</v>
      </c>
      <c r="F286" s="1">
        <v>1403</v>
      </c>
      <c r="H286" s="1">
        <v>468</v>
      </c>
      <c r="K286" s="1">
        <v>2497</v>
      </c>
      <c r="L286" s="1">
        <v>2629</v>
      </c>
      <c r="M286" s="1">
        <v>3724</v>
      </c>
      <c r="N286" s="1">
        <f t="shared" si="14"/>
        <v>0.5618742490989187</v>
      </c>
      <c r="O286" s="1">
        <f t="shared" si="15"/>
        <v>0.18742490989187024</v>
      </c>
    </row>
    <row r="287" spans="1:15" ht="42" x14ac:dyDescent="0.2">
      <c r="A287" s="1" t="str">
        <f t="shared" si="13"/>
        <v>ALBERTI</v>
      </c>
      <c r="B287" s="2" t="s">
        <v>169</v>
      </c>
      <c r="C287" s="2" t="s">
        <v>82</v>
      </c>
      <c r="D287" s="2" t="s">
        <v>83</v>
      </c>
      <c r="E287" s="2" t="s">
        <v>170</v>
      </c>
      <c r="F287" s="1">
        <v>2514</v>
      </c>
      <c r="H287" s="1">
        <v>3198</v>
      </c>
      <c r="I287" s="1">
        <v>125</v>
      </c>
      <c r="K287" s="1">
        <v>6644</v>
      </c>
      <c r="M287" s="1">
        <v>9759</v>
      </c>
      <c r="N287" s="1">
        <f t="shared" si="14"/>
        <v>0.37838651414810354</v>
      </c>
      <c r="O287" s="1">
        <f t="shared" si="15"/>
        <v>0.48133654425045153</v>
      </c>
    </row>
    <row r="288" spans="1:15" ht="42" x14ac:dyDescent="0.2">
      <c r="A288" s="1" t="str">
        <f t="shared" si="13"/>
        <v>BRAGADO</v>
      </c>
      <c r="B288" s="2" t="s">
        <v>169</v>
      </c>
      <c r="C288" s="2" t="s">
        <v>82</v>
      </c>
      <c r="D288" s="2" t="s">
        <v>84</v>
      </c>
      <c r="E288" s="2" t="s">
        <v>170</v>
      </c>
      <c r="F288" s="1">
        <v>8310</v>
      </c>
      <c r="H288" s="1">
        <v>11636</v>
      </c>
      <c r="I288" s="1">
        <v>550</v>
      </c>
      <c r="K288" s="1">
        <v>23909</v>
      </c>
      <c r="M288" s="1">
        <v>37525</v>
      </c>
      <c r="N288" s="1">
        <f t="shared" si="14"/>
        <v>0.34756786147475843</v>
      </c>
      <c r="O288" s="1">
        <f t="shared" si="15"/>
        <v>0.48667865657283865</v>
      </c>
    </row>
    <row r="289" spans="1:15" ht="42" x14ac:dyDescent="0.2">
      <c r="A289" s="1" t="str">
        <f t="shared" si="13"/>
        <v>CARLOS CASARES</v>
      </c>
      <c r="B289" s="2" t="s">
        <v>169</v>
      </c>
      <c r="C289" s="2" t="s">
        <v>82</v>
      </c>
      <c r="D289" s="2" t="s">
        <v>85</v>
      </c>
      <c r="E289" s="2" t="s">
        <v>170</v>
      </c>
      <c r="F289" s="1">
        <v>4098</v>
      </c>
      <c r="H289" s="1">
        <v>6683</v>
      </c>
      <c r="I289" s="1">
        <v>343</v>
      </c>
      <c r="K289" s="1">
        <v>12489</v>
      </c>
      <c r="M289" s="1">
        <v>20213</v>
      </c>
      <c r="N289" s="1">
        <f t="shared" si="14"/>
        <v>0.32812875330290658</v>
      </c>
      <c r="O289" s="1">
        <f t="shared" si="15"/>
        <v>0.53511089758987906</v>
      </c>
    </row>
    <row r="290" spans="1:15" ht="42" x14ac:dyDescent="0.2">
      <c r="A290" s="1" t="str">
        <f t="shared" si="13"/>
        <v>CARLOS TEJEDOR</v>
      </c>
      <c r="B290" s="2" t="s">
        <v>169</v>
      </c>
      <c r="C290" s="2" t="s">
        <v>82</v>
      </c>
      <c r="D290" s="2" t="s">
        <v>86</v>
      </c>
      <c r="E290" s="2" t="s">
        <v>170</v>
      </c>
      <c r="F290" s="1">
        <v>3338</v>
      </c>
      <c r="H290" s="1">
        <v>2788</v>
      </c>
      <c r="I290" s="1">
        <v>118</v>
      </c>
      <c r="K290" s="1">
        <v>6985</v>
      </c>
      <c r="M290" s="1">
        <v>10084</v>
      </c>
      <c r="N290" s="1">
        <f t="shared" si="14"/>
        <v>0.47788117394416607</v>
      </c>
      <c r="O290" s="1">
        <f t="shared" si="15"/>
        <v>0.39914101646385108</v>
      </c>
    </row>
    <row r="291" spans="1:15" ht="42" x14ac:dyDescent="0.2">
      <c r="A291" s="1" t="str">
        <f t="shared" si="13"/>
        <v>CHACABUCO</v>
      </c>
      <c r="B291" s="2" t="s">
        <v>169</v>
      </c>
      <c r="C291" s="2" t="s">
        <v>82</v>
      </c>
      <c r="D291" s="2" t="s">
        <v>87</v>
      </c>
      <c r="E291" s="2" t="s">
        <v>170</v>
      </c>
      <c r="F291" s="1">
        <v>12493</v>
      </c>
      <c r="H291" s="1">
        <v>12895</v>
      </c>
      <c r="I291" s="1">
        <v>800</v>
      </c>
      <c r="K291" s="1">
        <v>29437</v>
      </c>
      <c r="M291" s="1">
        <v>43542</v>
      </c>
      <c r="N291" s="1">
        <f t="shared" si="14"/>
        <v>0.42439786663043111</v>
      </c>
      <c r="O291" s="1">
        <f t="shared" si="15"/>
        <v>0.43805414953969496</v>
      </c>
    </row>
    <row r="292" spans="1:15" ht="42" x14ac:dyDescent="0.2">
      <c r="A292" s="1" t="str">
        <f t="shared" si="13"/>
        <v>CHIVILCOY</v>
      </c>
      <c r="B292" s="2" t="s">
        <v>169</v>
      </c>
      <c r="C292" s="2" t="s">
        <v>82</v>
      </c>
      <c r="D292" s="2" t="s">
        <v>88</v>
      </c>
      <c r="E292" s="2" t="s">
        <v>170</v>
      </c>
      <c r="F292" s="1">
        <v>12950</v>
      </c>
      <c r="H292" s="1">
        <v>16518</v>
      </c>
      <c r="I292" s="1">
        <v>1119</v>
      </c>
      <c r="K292" s="1">
        <v>39733</v>
      </c>
      <c r="M292" s="1">
        <v>60809</v>
      </c>
      <c r="N292" s="1">
        <f t="shared" si="14"/>
        <v>0.32592555306672039</v>
      </c>
      <c r="O292" s="1">
        <f t="shared" si="15"/>
        <v>0.41572496413560517</v>
      </c>
    </row>
    <row r="293" spans="1:15" ht="51" x14ac:dyDescent="0.2">
      <c r="A293" s="1" t="str">
        <f t="shared" si="13"/>
        <v>FLORENTINO AMEGHINO</v>
      </c>
      <c r="B293" s="2" t="s">
        <v>169</v>
      </c>
      <c r="C293" s="2" t="s">
        <v>82</v>
      </c>
      <c r="D293" s="2" t="s">
        <v>101</v>
      </c>
      <c r="E293" s="2" t="s">
        <v>170</v>
      </c>
      <c r="F293" s="1">
        <v>2007</v>
      </c>
      <c r="H293" s="1">
        <v>2656</v>
      </c>
      <c r="I293" s="1">
        <v>106</v>
      </c>
      <c r="K293" s="1">
        <v>5453</v>
      </c>
      <c r="M293" s="1">
        <v>8110</v>
      </c>
      <c r="N293" s="1">
        <f t="shared" si="14"/>
        <v>0.36805428204657986</v>
      </c>
      <c r="O293" s="1">
        <f t="shared" si="15"/>
        <v>0.48707133687878235</v>
      </c>
    </row>
    <row r="294" spans="1:15" ht="42" x14ac:dyDescent="0.2">
      <c r="A294" s="1" t="str">
        <f t="shared" si="13"/>
        <v>GENERAL ARENALES</v>
      </c>
      <c r="B294" s="2" t="s">
        <v>169</v>
      </c>
      <c r="C294" s="2" t="s">
        <v>82</v>
      </c>
      <c r="D294" s="2" t="s">
        <v>89</v>
      </c>
      <c r="E294" s="2" t="s">
        <v>170</v>
      </c>
      <c r="F294" s="1">
        <v>3130</v>
      </c>
      <c r="H294" s="1">
        <v>5242</v>
      </c>
      <c r="I294" s="1">
        <v>195</v>
      </c>
      <c r="K294" s="1">
        <v>9758</v>
      </c>
      <c r="M294" s="1">
        <v>15260</v>
      </c>
      <c r="N294" s="1">
        <f t="shared" si="14"/>
        <v>0.32076245132199221</v>
      </c>
      <c r="O294" s="1">
        <f t="shared" si="15"/>
        <v>0.5372002459520393</v>
      </c>
    </row>
    <row r="295" spans="1:15" ht="42" x14ac:dyDescent="0.2">
      <c r="A295" s="1" t="str">
        <f t="shared" si="13"/>
        <v>GENERAL PINTO</v>
      </c>
      <c r="B295" s="2" t="s">
        <v>169</v>
      </c>
      <c r="C295" s="2" t="s">
        <v>82</v>
      </c>
      <c r="D295" s="2" t="s">
        <v>90</v>
      </c>
      <c r="E295" s="2" t="s">
        <v>170</v>
      </c>
      <c r="F295" s="1">
        <v>3529</v>
      </c>
      <c r="H295" s="1">
        <v>3057</v>
      </c>
      <c r="I295" s="1">
        <v>127</v>
      </c>
      <c r="K295" s="1">
        <v>7297</v>
      </c>
      <c r="M295" s="1">
        <v>10284</v>
      </c>
      <c r="N295" s="1">
        <f t="shared" si="14"/>
        <v>0.48362340687953953</v>
      </c>
      <c r="O295" s="1">
        <f t="shared" si="15"/>
        <v>0.41893929011922709</v>
      </c>
    </row>
    <row r="296" spans="1:15" ht="42" x14ac:dyDescent="0.2">
      <c r="A296" s="1" t="str">
        <f t="shared" si="13"/>
        <v>GENERAL VIAMONTE</v>
      </c>
      <c r="B296" s="2" t="s">
        <v>169</v>
      </c>
      <c r="C296" s="2" t="s">
        <v>82</v>
      </c>
      <c r="D296" s="2" t="s">
        <v>91</v>
      </c>
      <c r="E296" s="2" t="s">
        <v>170</v>
      </c>
      <c r="F296" s="1">
        <v>4492</v>
      </c>
      <c r="H296" s="1">
        <v>4815</v>
      </c>
      <c r="I296" s="1">
        <v>229</v>
      </c>
      <c r="K296" s="1">
        <v>10716</v>
      </c>
      <c r="M296" s="1">
        <v>15841</v>
      </c>
      <c r="N296" s="1">
        <f t="shared" si="14"/>
        <v>0.41918626353116833</v>
      </c>
      <c r="O296" s="1">
        <f t="shared" si="15"/>
        <v>0.44932810750279956</v>
      </c>
    </row>
    <row r="297" spans="1:15" ht="42" x14ac:dyDescent="0.2">
      <c r="A297" s="1" t="str">
        <f t="shared" si="13"/>
        <v>GENERAL VILLEGAS</v>
      </c>
      <c r="B297" s="2" t="s">
        <v>169</v>
      </c>
      <c r="C297" s="2" t="s">
        <v>82</v>
      </c>
      <c r="D297" s="2" t="s">
        <v>92</v>
      </c>
      <c r="E297" s="2" t="s">
        <v>170</v>
      </c>
      <c r="F297" s="1">
        <v>4247</v>
      </c>
      <c r="H297" s="1">
        <v>8680</v>
      </c>
      <c r="I297" s="1">
        <v>341</v>
      </c>
      <c r="K297" s="1">
        <v>15275</v>
      </c>
      <c r="M297" s="1">
        <v>25824</v>
      </c>
      <c r="N297" s="1">
        <f t="shared" si="14"/>
        <v>0.27803600654664484</v>
      </c>
      <c r="O297" s="1">
        <f t="shared" si="15"/>
        <v>0.56824877250409167</v>
      </c>
    </row>
    <row r="298" spans="1:15" ht="42" x14ac:dyDescent="0.2">
      <c r="A298" s="1" t="str">
        <f t="shared" si="13"/>
        <v>HIPOLITO YRIGOYEN</v>
      </c>
      <c r="B298" s="2" t="s">
        <v>169</v>
      </c>
      <c r="C298" s="2" t="s">
        <v>82</v>
      </c>
      <c r="D298" s="2" t="s">
        <v>93</v>
      </c>
      <c r="E298" s="2" t="s">
        <v>170</v>
      </c>
      <c r="F298" s="1">
        <v>1767</v>
      </c>
      <c r="H298" s="1">
        <v>2532</v>
      </c>
      <c r="I298" s="1">
        <v>89</v>
      </c>
      <c r="K298" s="1">
        <v>4878</v>
      </c>
      <c r="M298" s="1">
        <v>8264</v>
      </c>
      <c r="N298" s="1">
        <f t="shared" si="14"/>
        <v>0.36223862238622384</v>
      </c>
      <c r="O298" s="1">
        <f t="shared" si="15"/>
        <v>0.51906519065190648</v>
      </c>
    </row>
    <row r="299" spans="1:15" ht="42" x14ac:dyDescent="0.2">
      <c r="A299" s="1" t="str">
        <f t="shared" si="13"/>
        <v>JUNIN</v>
      </c>
      <c r="B299" s="2" t="s">
        <v>169</v>
      </c>
      <c r="C299" s="2" t="s">
        <v>82</v>
      </c>
      <c r="D299" s="2" t="s">
        <v>94</v>
      </c>
      <c r="E299" s="2" t="s">
        <v>170</v>
      </c>
      <c r="F299" s="1">
        <v>18992</v>
      </c>
      <c r="H299" s="1">
        <v>26212</v>
      </c>
      <c r="I299" s="1">
        <v>1809</v>
      </c>
      <c r="K299" s="1">
        <v>54534</v>
      </c>
      <c r="M299" s="1">
        <v>82836</v>
      </c>
      <c r="N299" s="1">
        <f t="shared" si="14"/>
        <v>0.34825980122492389</v>
      </c>
      <c r="O299" s="1">
        <f t="shared" si="15"/>
        <v>0.48065427073018668</v>
      </c>
    </row>
    <row r="300" spans="1:15" ht="42" x14ac:dyDescent="0.2">
      <c r="A300" s="1" t="str">
        <f t="shared" si="13"/>
        <v>LEANDRO N ALEM</v>
      </c>
      <c r="B300" s="2" t="s">
        <v>169</v>
      </c>
      <c r="C300" s="2" t="s">
        <v>82</v>
      </c>
      <c r="D300" s="2" t="s">
        <v>95</v>
      </c>
      <c r="E300" s="2" t="s">
        <v>170</v>
      </c>
      <c r="F300" s="1">
        <v>4330</v>
      </c>
      <c r="H300" s="1">
        <v>4795</v>
      </c>
      <c r="I300" s="1">
        <v>147</v>
      </c>
      <c r="K300" s="1">
        <v>10100</v>
      </c>
      <c r="M300" s="1">
        <v>15222</v>
      </c>
      <c r="N300" s="1">
        <f t="shared" si="14"/>
        <v>0.42871287128712871</v>
      </c>
      <c r="O300" s="1">
        <f t="shared" si="15"/>
        <v>0.47475247524752473</v>
      </c>
    </row>
    <row r="301" spans="1:15" ht="42" x14ac:dyDescent="0.2">
      <c r="A301" s="1" t="str">
        <f t="shared" si="13"/>
        <v>LINCOLN</v>
      </c>
      <c r="B301" s="2" t="s">
        <v>169</v>
      </c>
      <c r="C301" s="2" t="s">
        <v>82</v>
      </c>
      <c r="D301" s="2" t="s">
        <v>96</v>
      </c>
      <c r="E301" s="2" t="s">
        <v>170</v>
      </c>
      <c r="F301" s="1">
        <v>7446</v>
      </c>
      <c r="H301" s="1">
        <v>13172</v>
      </c>
      <c r="I301" s="1">
        <v>673</v>
      </c>
      <c r="K301" s="1">
        <v>24822</v>
      </c>
      <c r="M301" s="1">
        <v>38636</v>
      </c>
      <c r="N301" s="1">
        <f t="shared" si="14"/>
        <v>0.29997582789460964</v>
      </c>
      <c r="O301" s="1">
        <f t="shared" si="15"/>
        <v>0.53065828700346462</v>
      </c>
    </row>
    <row r="302" spans="1:15" ht="42" x14ac:dyDescent="0.2">
      <c r="A302" s="1" t="str">
        <f t="shared" si="13"/>
        <v>NUEVE DE JULIO</v>
      </c>
      <c r="B302" s="2" t="s">
        <v>169</v>
      </c>
      <c r="C302" s="2" t="s">
        <v>82</v>
      </c>
      <c r="D302" s="2" t="s">
        <v>97</v>
      </c>
      <c r="E302" s="2" t="s">
        <v>170</v>
      </c>
      <c r="F302" s="1">
        <v>7942</v>
      </c>
      <c r="H302" s="1">
        <v>14833</v>
      </c>
      <c r="I302" s="1">
        <v>776</v>
      </c>
      <c r="K302" s="1">
        <v>27630</v>
      </c>
      <c r="M302" s="1">
        <v>43517</v>
      </c>
      <c r="N302" s="1">
        <f t="shared" si="14"/>
        <v>0.28744118711545424</v>
      </c>
      <c r="O302" s="1">
        <f t="shared" si="15"/>
        <v>0.53684401013391236</v>
      </c>
    </row>
    <row r="303" spans="1:15" ht="42" x14ac:dyDescent="0.2">
      <c r="A303" s="1" t="str">
        <f t="shared" si="13"/>
        <v>PEHUAJO</v>
      </c>
      <c r="B303" s="2" t="s">
        <v>169</v>
      </c>
      <c r="C303" s="2" t="s">
        <v>82</v>
      </c>
      <c r="D303" s="2" t="s">
        <v>98</v>
      </c>
      <c r="E303" s="2" t="s">
        <v>170</v>
      </c>
      <c r="F303" s="1">
        <v>9854</v>
      </c>
      <c r="H303" s="1">
        <v>11637</v>
      </c>
      <c r="I303" s="1">
        <v>589</v>
      </c>
      <c r="K303" s="1">
        <v>24533</v>
      </c>
      <c r="M303" s="1">
        <v>36459</v>
      </c>
      <c r="N303" s="1">
        <f t="shared" si="14"/>
        <v>0.40166306607426733</v>
      </c>
      <c r="O303" s="1">
        <f t="shared" si="15"/>
        <v>0.47434068397668444</v>
      </c>
    </row>
    <row r="304" spans="1:15" ht="42" x14ac:dyDescent="0.2">
      <c r="A304" s="1" t="str">
        <f t="shared" si="13"/>
        <v>RIVADAVIA</v>
      </c>
      <c r="B304" s="2" t="s">
        <v>169</v>
      </c>
      <c r="C304" s="2" t="s">
        <v>82</v>
      </c>
      <c r="D304" s="2" t="s">
        <v>99</v>
      </c>
      <c r="E304" s="2" t="s">
        <v>170</v>
      </c>
      <c r="F304" s="1">
        <v>3175</v>
      </c>
      <c r="H304" s="1">
        <v>4688</v>
      </c>
      <c r="I304" s="1">
        <v>191</v>
      </c>
      <c r="K304" s="1">
        <v>9683</v>
      </c>
      <c r="M304" s="1">
        <v>14960</v>
      </c>
      <c r="N304" s="1">
        <f t="shared" si="14"/>
        <v>0.32789424765052155</v>
      </c>
      <c r="O304" s="1">
        <f t="shared" si="15"/>
        <v>0.48414747495610866</v>
      </c>
    </row>
    <row r="305" spans="1:15" ht="42" x14ac:dyDescent="0.2">
      <c r="A305" s="1" t="str">
        <f t="shared" si="13"/>
        <v>TRENQUE LAUQUEN</v>
      </c>
      <c r="B305" s="2" t="s">
        <v>169</v>
      </c>
      <c r="C305" s="2" t="s">
        <v>82</v>
      </c>
      <c r="D305" s="2" t="s">
        <v>100</v>
      </c>
      <c r="E305" s="2" t="s">
        <v>170</v>
      </c>
      <c r="F305" s="1">
        <v>7341</v>
      </c>
      <c r="H305" s="1">
        <v>13792</v>
      </c>
      <c r="I305" s="1">
        <v>708</v>
      </c>
      <c r="K305" s="1">
        <v>25527</v>
      </c>
      <c r="M305" s="1">
        <v>42206</v>
      </c>
      <c r="N305" s="1">
        <f t="shared" si="14"/>
        <v>0.287577858737807</v>
      </c>
      <c r="O305" s="1">
        <f t="shared" si="15"/>
        <v>0.54029067262114627</v>
      </c>
    </row>
    <row r="306" spans="1:15" ht="42" x14ac:dyDescent="0.2">
      <c r="A306" s="1" t="str">
        <f t="shared" si="13"/>
        <v>LA PLATA</v>
      </c>
      <c r="B306" s="2" t="s">
        <v>169</v>
      </c>
      <c r="C306" s="3" t="s">
        <v>16</v>
      </c>
      <c r="D306" s="2" t="s">
        <v>17</v>
      </c>
      <c r="E306" s="2" t="s">
        <v>170</v>
      </c>
      <c r="F306" s="1">
        <v>153163</v>
      </c>
      <c r="H306" s="1">
        <v>173880</v>
      </c>
      <c r="I306" s="1">
        <v>21472</v>
      </c>
      <c r="K306" s="1">
        <v>393871</v>
      </c>
      <c r="M306" s="1">
        <v>576612</v>
      </c>
      <c r="N306" s="1">
        <f t="shared" si="14"/>
        <v>0.38886589771778068</v>
      </c>
      <c r="O306" s="1">
        <f t="shared" si="15"/>
        <v>0.44146433730840806</v>
      </c>
    </row>
    <row r="307" spans="1:15" ht="42" x14ac:dyDescent="0.2">
      <c r="A307" s="1" t="str">
        <f t="shared" si="13"/>
        <v>CAMPANA</v>
      </c>
      <c r="B307" s="2" t="s">
        <v>169</v>
      </c>
      <c r="C307" s="4" t="s">
        <v>20</v>
      </c>
      <c r="D307" s="2" t="s">
        <v>22</v>
      </c>
      <c r="E307" s="2" t="s">
        <v>170</v>
      </c>
      <c r="F307" s="1">
        <v>21043</v>
      </c>
      <c r="H307" s="1">
        <v>26566</v>
      </c>
      <c r="I307" s="1">
        <v>2852</v>
      </c>
      <c r="K307" s="1">
        <v>58023</v>
      </c>
      <c r="M307" s="1">
        <v>88712</v>
      </c>
      <c r="N307" s="1">
        <f t="shared" si="14"/>
        <v>0.36266652879030731</v>
      </c>
      <c r="O307" s="1">
        <f t="shared" si="15"/>
        <v>0.45785292039363701</v>
      </c>
    </row>
    <row r="308" spans="1:15" ht="42" x14ac:dyDescent="0.2">
      <c r="A308" s="1" t="str">
        <f t="shared" si="13"/>
        <v>ESCOBAR</v>
      </c>
      <c r="B308" s="2" t="s">
        <v>169</v>
      </c>
      <c r="C308" s="4" t="s">
        <v>20</v>
      </c>
      <c r="D308" s="2" t="s">
        <v>23</v>
      </c>
      <c r="E308" s="2" t="s">
        <v>170</v>
      </c>
      <c r="F308" s="1">
        <v>52849</v>
      </c>
      <c r="H308" s="1">
        <v>57592</v>
      </c>
      <c r="I308" s="1">
        <v>5965</v>
      </c>
      <c r="K308" s="1">
        <v>130954</v>
      </c>
      <c r="M308" s="1">
        <v>204556</v>
      </c>
      <c r="N308" s="1">
        <f t="shared" si="14"/>
        <v>0.40356919223544147</v>
      </c>
      <c r="O308" s="1">
        <f t="shared" si="15"/>
        <v>0.4397880171663332</v>
      </c>
    </row>
    <row r="309" spans="1:15" ht="42" x14ac:dyDescent="0.2">
      <c r="A309" s="1" t="str">
        <f t="shared" si="13"/>
        <v>GENERAL LAS HERAS</v>
      </c>
      <c r="B309" s="2" t="s">
        <v>169</v>
      </c>
      <c r="C309" s="4" t="s">
        <v>20</v>
      </c>
      <c r="D309" s="2" t="s">
        <v>24</v>
      </c>
      <c r="E309" s="2" t="s">
        <v>170</v>
      </c>
      <c r="F309" s="1">
        <v>4390</v>
      </c>
      <c r="H309" s="1">
        <v>4098</v>
      </c>
      <c r="I309" s="1">
        <v>330</v>
      </c>
      <c r="K309" s="1">
        <v>9985</v>
      </c>
      <c r="M309" s="1">
        <v>14549</v>
      </c>
      <c r="N309" s="1">
        <f t="shared" si="14"/>
        <v>0.43965948923385079</v>
      </c>
      <c r="O309" s="1">
        <f t="shared" si="15"/>
        <v>0.41041562343515275</v>
      </c>
    </row>
    <row r="310" spans="1:15" ht="51" x14ac:dyDescent="0.2">
      <c r="A310" s="1" t="str">
        <f t="shared" si="13"/>
        <v>GENERAL RODRIGUEZ</v>
      </c>
      <c r="B310" s="2" t="s">
        <v>169</v>
      </c>
      <c r="C310" s="4" t="s">
        <v>20</v>
      </c>
      <c r="D310" s="2" t="s">
        <v>25</v>
      </c>
      <c r="E310" s="2" t="s">
        <v>170</v>
      </c>
      <c r="F310" s="1">
        <v>26104</v>
      </c>
      <c r="H310" s="1">
        <v>23542</v>
      </c>
      <c r="I310" s="1">
        <v>2514</v>
      </c>
      <c r="K310" s="1">
        <v>58638</v>
      </c>
      <c r="M310" s="1">
        <v>99248</v>
      </c>
      <c r="N310" s="1">
        <f t="shared" si="14"/>
        <v>0.44517207271735054</v>
      </c>
      <c r="O310" s="1">
        <f t="shared" si="15"/>
        <v>0.40148026876769333</v>
      </c>
    </row>
    <row r="311" spans="1:15" ht="51" x14ac:dyDescent="0.2">
      <c r="A311" s="1" t="str">
        <f t="shared" si="13"/>
        <v>GENERAL SAN MARTIN</v>
      </c>
      <c r="B311" s="2" t="s">
        <v>169</v>
      </c>
      <c r="C311" s="4" t="s">
        <v>20</v>
      </c>
      <c r="D311" s="2" t="s">
        <v>26</v>
      </c>
      <c r="E311" s="2" t="s">
        <v>170</v>
      </c>
      <c r="F311" s="1">
        <v>99804</v>
      </c>
      <c r="H311" s="1">
        <v>96130</v>
      </c>
      <c r="I311" s="1">
        <v>11831</v>
      </c>
      <c r="K311" s="1">
        <v>235129</v>
      </c>
      <c r="M311" s="1">
        <v>378078</v>
      </c>
      <c r="N311" s="1">
        <f t="shared" si="14"/>
        <v>0.42446486822127427</v>
      </c>
      <c r="O311" s="1">
        <f t="shared" si="15"/>
        <v>0.40883940305109112</v>
      </c>
    </row>
    <row r="312" spans="1:15" ht="42" x14ac:dyDescent="0.2">
      <c r="A312" s="1" t="str">
        <f t="shared" si="13"/>
        <v>HURLINGHAM</v>
      </c>
      <c r="B312" s="2" t="s">
        <v>169</v>
      </c>
      <c r="C312" s="4" t="s">
        <v>20</v>
      </c>
      <c r="D312" s="2" t="s">
        <v>45</v>
      </c>
      <c r="E312" s="2" t="s">
        <v>170</v>
      </c>
      <c r="F312" s="1">
        <v>45007</v>
      </c>
      <c r="H312" s="1">
        <v>40100</v>
      </c>
      <c r="I312" s="1">
        <v>5820</v>
      </c>
      <c r="K312" s="1">
        <v>103358</v>
      </c>
      <c r="M312" s="1">
        <v>158026</v>
      </c>
      <c r="N312" s="1">
        <f t="shared" si="14"/>
        <v>0.43544766733102419</v>
      </c>
      <c r="O312" s="1">
        <f t="shared" si="15"/>
        <v>0.3879719034811045</v>
      </c>
    </row>
    <row r="313" spans="1:15" ht="42" x14ac:dyDescent="0.2">
      <c r="A313" s="1" t="str">
        <f t="shared" si="13"/>
        <v>ITUZAINGO</v>
      </c>
      <c r="B313" s="2" t="s">
        <v>169</v>
      </c>
      <c r="C313" s="4" t="s">
        <v>20</v>
      </c>
      <c r="D313" s="2" t="s">
        <v>44</v>
      </c>
      <c r="E313" s="2" t="s">
        <v>170</v>
      </c>
      <c r="F313" s="1">
        <v>43398</v>
      </c>
      <c r="H313" s="1">
        <v>41390</v>
      </c>
      <c r="I313" s="1">
        <v>5520</v>
      </c>
      <c r="K313" s="1">
        <v>102826</v>
      </c>
      <c r="M313" s="1">
        <v>149196</v>
      </c>
      <c r="N313" s="1">
        <f t="shared" si="14"/>
        <v>0.42205278820531772</v>
      </c>
      <c r="O313" s="1">
        <f t="shared" si="15"/>
        <v>0.40252465329780407</v>
      </c>
    </row>
    <row r="314" spans="1:15" ht="42" x14ac:dyDescent="0.2">
      <c r="A314" s="1" t="str">
        <f t="shared" si="13"/>
        <v>JOSE C PAZ</v>
      </c>
      <c r="B314" s="2" t="s">
        <v>169</v>
      </c>
      <c r="C314" s="4" t="s">
        <v>20</v>
      </c>
      <c r="D314" s="2" t="s">
        <v>42</v>
      </c>
      <c r="E314" s="2" t="s">
        <v>170</v>
      </c>
      <c r="F314" s="1">
        <v>73977</v>
      </c>
      <c r="H314" s="1">
        <v>46088</v>
      </c>
      <c r="I314" s="1">
        <v>8440</v>
      </c>
      <c r="K314" s="1">
        <v>144781</v>
      </c>
      <c r="M314" s="1">
        <v>233195</v>
      </c>
      <c r="N314" s="1">
        <f t="shared" si="14"/>
        <v>0.51095792956258068</v>
      </c>
      <c r="O314" s="1">
        <f t="shared" si="15"/>
        <v>0.31832906251510901</v>
      </c>
    </row>
    <row r="315" spans="1:15" ht="42" x14ac:dyDescent="0.2">
      <c r="A315" s="1" t="str">
        <f t="shared" si="13"/>
        <v>LUJAN</v>
      </c>
      <c r="B315" s="2" t="s">
        <v>169</v>
      </c>
      <c r="C315" s="4" t="s">
        <v>20</v>
      </c>
      <c r="D315" s="2" t="s">
        <v>28</v>
      </c>
      <c r="E315" s="2" t="s">
        <v>170</v>
      </c>
      <c r="F315" s="1">
        <v>24171</v>
      </c>
      <c r="H315" s="1">
        <v>29910</v>
      </c>
      <c r="I315" s="1">
        <v>2461</v>
      </c>
      <c r="K315" s="1">
        <v>64497</v>
      </c>
      <c r="M315" s="1">
        <v>97870</v>
      </c>
      <c r="N315" s="1">
        <f t="shared" si="14"/>
        <v>0.37476161681938697</v>
      </c>
      <c r="O315" s="1">
        <f t="shared" si="15"/>
        <v>0.46374249965114656</v>
      </c>
    </row>
    <row r="316" spans="1:15" ht="51" x14ac:dyDescent="0.2">
      <c r="A316" s="1" t="str">
        <f t="shared" si="13"/>
        <v>MALVINAS ARGENTINAS</v>
      </c>
      <c r="B316" s="2" t="s">
        <v>169</v>
      </c>
      <c r="C316" s="4" t="s">
        <v>20</v>
      </c>
      <c r="D316" s="2" t="s">
        <v>43</v>
      </c>
      <c r="E316" s="2" t="s">
        <v>170</v>
      </c>
      <c r="F316" s="1">
        <v>94724</v>
      </c>
      <c r="H316" s="1">
        <v>64784</v>
      </c>
      <c r="I316" s="1">
        <v>10275</v>
      </c>
      <c r="K316" s="1">
        <v>189245</v>
      </c>
      <c r="M316" s="1">
        <v>285199</v>
      </c>
      <c r="N316" s="1">
        <f t="shared" si="14"/>
        <v>0.50053634177917516</v>
      </c>
      <c r="O316" s="1">
        <f t="shared" si="15"/>
        <v>0.34232872731115749</v>
      </c>
    </row>
    <row r="317" spans="1:15" ht="42" x14ac:dyDescent="0.2">
      <c r="A317" s="1" t="str">
        <f t="shared" si="13"/>
        <v>MARCOS PAZ</v>
      </c>
      <c r="B317" s="2" t="s">
        <v>169</v>
      </c>
      <c r="C317" s="4" t="s">
        <v>20</v>
      </c>
      <c r="D317" s="2" t="s">
        <v>29</v>
      </c>
      <c r="E317" s="2" t="s">
        <v>170</v>
      </c>
      <c r="F317" s="1">
        <v>16315</v>
      </c>
      <c r="H317" s="1">
        <v>11689</v>
      </c>
      <c r="I317" s="1">
        <v>1246</v>
      </c>
      <c r="K317" s="1">
        <v>32759</v>
      </c>
      <c r="M317" s="1">
        <v>50640</v>
      </c>
      <c r="N317" s="1">
        <f t="shared" si="14"/>
        <v>0.49803107542965291</v>
      </c>
      <c r="O317" s="1">
        <f t="shared" si="15"/>
        <v>0.35681797368662049</v>
      </c>
    </row>
    <row r="318" spans="1:15" ht="42" x14ac:dyDescent="0.2">
      <c r="A318" s="1" t="str">
        <f t="shared" si="13"/>
        <v>MERCEDES</v>
      </c>
      <c r="B318" s="2" t="s">
        <v>169</v>
      </c>
      <c r="C318" s="4" t="s">
        <v>20</v>
      </c>
      <c r="D318" s="2" t="s">
        <v>30</v>
      </c>
      <c r="E318" s="2" t="s">
        <v>170</v>
      </c>
      <c r="F318" s="1">
        <v>13878</v>
      </c>
      <c r="H318" s="1">
        <v>19682</v>
      </c>
      <c r="I318" s="1">
        <v>1465</v>
      </c>
      <c r="K318" s="1">
        <v>39334</v>
      </c>
      <c r="M318" s="1">
        <v>58761</v>
      </c>
      <c r="N318" s="1">
        <f t="shared" si="14"/>
        <v>0.35282452839782374</v>
      </c>
      <c r="O318" s="1">
        <f t="shared" si="15"/>
        <v>0.50038134946865309</v>
      </c>
    </row>
    <row r="319" spans="1:15" ht="42" x14ac:dyDescent="0.2">
      <c r="A319" s="1" t="str">
        <f t="shared" si="13"/>
        <v>MERLO</v>
      </c>
      <c r="B319" s="2" t="s">
        <v>169</v>
      </c>
      <c r="C319" s="4" t="s">
        <v>20</v>
      </c>
      <c r="D319" s="2" t="s">
        <v>31</v>
      </c>
      <c r="E319" s="2" t="s">
        <v>170</v>
      </c>
      <c r="F319" s="1">
        <v>129170</v>
      </c>
      <c r="H319" s="1">
        <v>88850</v>
      </c>
      <c r="I319" s="1">
        <v>17600</v>
      </c>
      <c r="K319" s="1">
        <v>269248</v>
      </c>
      <c r="M319" s="1">
        <v>434405</v>
      </c>
      <c r="N319" s="1">
        <f t="shared" si="14"/>
        <v>0.47974358212502971</v>
      </c>
      <c r="O319" s="1">
        <f t="shared" si="15"/>
        <v>0.32999316615165203</v>
      </c>
    </row>
    <row r="320" spans="1:15" ht="42" x14ac:dyDescent="0.2">
      <c r="A320" s="1" t="str">
        <f t="shared" si="13"/>
        <v>MORENO</v>
      </c>
      <c r="B320" s="2" t="s">
        <v>169</v>
      </c>
      <c r="C320" s="4" t="s">
        <v>20</v>
      </c>
      <c r="D320" s="2" t="s">
        <v>32</v>
      </c>
      <c r="E320" s="2" t="s">
        <v>170</v>
      </c>
      <c r="F320" s="1">
        <v>117332</v>
      </c>
      <c r="H320" s="1">
        <v>79580</v>
      </c>
      <c r="I320" s="1">
        <v>12640</v>
      </c>
      <c r="K320" s="1">
        <v>235510</v>
      </c>
      <c r="M320" s="1">
        <v>372534</v>
      </c>
      <c r="N320" s="1">
        <f t="shared" si="14"/>
        <v>0.49820389792365505</v>
      </c>
      <c r="O320" s="1">
        <f t="shared" si="15"/>
        <v>0.33790497218801752</v>
      </c>
    </row>
    <row r="321" spans="1:15" ht="42" x14ac:dyDescent="0.2">
      <c r="A321" s="1" t="str">
        <f t="shared" si="13"/>
        <v>MORON</v>
      </c>
      <c r="B321" s="2" t="s">
        <v>169</v>
      </c>
      <c r="C321" s="4" t="s">
        <v>20</v>
      </c>
      <c r="D321" s="2" t="s">
        <v>33</v>
      </c>
      <c r="E321" s="2" t="s">
        <v>170</v>
      </c>
      <c r="F321" s="1">
        <v>72812</v>
      </c>
      <c r="H321" s="1">
        <v>82446</v>
      </c>
      <c r="I321" s="1">
        <v>11218</v>
      </c>
      <c r="K321" s="1">
        <v>190995</v>
      </c>
      <c r="M321" s="1">
        <v>279263</v>
      </c>
      <c r="N321" s="1">
        <f t="shared" si="14"/>
        <v>0.38122463938846568</v>
      </c>
      <c r="O321" s="1">
        <f t="shared" si="15"/>
        <v>0.43166575041231448</v>
      </c>
    </row>
    <row r="322" spans="1:15" ht="42" x14ac:dyDescent="0.2">
      <c r="A322" s="1" t="str">
        <f t="shared" si="13"/>
        <v>NAVARRO</v>
      </c>
      <c r="B322" s="2" t="s">
        <v>169</v>
      </c>
      <c r="C322" s="4" t="s">
        <v>20</v>
      </c>
      <c r="D322" s="2" t="s">
        <v>34</v>
      </c>
      <c r="E322" s="2" t="s">
        <v>170</v>
      </c>
      <c r="F322" s="1">
        <v>3366</v>
      </c>
      <c r="H322" s="1">
        <v>5212</v>
      </c>
      <c r="I322" s="1">
        <v>165</v>
      </c>
      <c r="K322" s="1">
        <v>9980</v>
      </c>
      <c r="M322" s="1">
        <v>15943</v>
      </c>
      <c r="N322" s="1">
        <f t="shared" si="14"/>
        <v>0.33727454909819637</v>
      </c>
      <c r="O322" s="1">
        <f t="shared" si="15"/>
        <v>0.52224448897795595</v>
      </c>
    </row>
    <row r="323" spans="1:15" ht="42" x14ac:dyDescent="0.2">
      <c r="A323" s="1" t="str">
        <f t="shared" ref="A323:A386" si="16">D323</f>
        <v>PILAR</v>
      </c>
      <c r="B323" s="2" t="s">
        <v>169</v>
      </c>
      <c r="C323" s="4" t="s">
        <v>20</v>
      </c>
      <c r="D323" s="2" t="s">
        <v>35</v>
      </c>
      <c r="E323" s="2" t="s">
        <v>170</v>
      </c>
      <c r="F323" s="1">
        <v>84460</v>
      </c>
      <c r="H323" s="1">
        <v>80754</v>
      </c>
      <c r="I323" s="1">
        <v>6901</v>
      </c>
      <c r="K323" s="1">
        <v>191030</v>
      </c>
      <c r="M323" s="1">
        <v>287874</v>
      </c>
      <c r="N323" s="1">
        <f t="shared" ref="N323:N386" si="17">F323/K323</f>
        <v>0.44212950845416948</v>
      </c>
      <c r="O323" s="1">
        <f t="shared" si="15"/>
        <v>0.42272941422813171</v>
      </c>
    </row>
    <row r="324" spans="1:15" ht="42" x14ac:dyDescent="0.2">
      <c r="A324" s="1" t="str">
        <f t="shared" si="16"/>
        <v>SAN FERNANDO</v>
      </c>
      <c r="B324" s="2" t="s">
        <v>169</v>
      </c>
      <c r="C324" s="4" t="s">
        <v>20</v>
      </c>
      <c r="D324" s="2" t="s">
        <v>36</v>
      </c>
      <c r="E324" s="2" t="s">
        <v>170</v>
      </c>
      <c r="F324" s="1">
        <v>39324</v>
      </c>
      <c r="H324" s="1">
        <v>38556</v>
      </c>
      <c r="I324" s="1">
        <v>3956</v>
      </c>
      <c r="K324" s="1">
        <v>91837</v>
      </c>
      <c r="M324" s="1">
        <v>137367</v>
      </c>
      <c r="N324" s="1">
        <f t="shared" si="17"/>
        <v>0.42819342966342544</v>
      </c>
      <c r="O324" s="1">
        <f t="shared" si="15"/>
        <v>0.41983078715550376</v>
      </c>
    </row>
    <row r="325" spans="1:15" ht="42" x14ac:dyDescent="0.2">
      <c r="A325" s="1" t="str">
        <f t="shared" si="16"/>
        <v>SAN ISIDRO</v>
      </c>
      <c r="B325" s="2" t="s">
        <v>169</v>
      </c>
      <c r="C325" s="4" t="s">
        <v>20</v>
      </c>
      <c r="D325" s="2" t="s">
        <v>37</v>
      </c>
      <c r="E325" s="2" t="s">
        <v>170</v>
      </c>
      <c r="F325" s="1">
        <v>47163</v>
      </c>
      <c r="H325" s="1">
        <v>105296</v>
      </c>
      <c r="I325" s="1">
        <v>7747</v>
      </c>
      <c r="K325" s="1">
        <v>182445</v>
      </c>
      <c r="M325" s="1">
        <v>270571</v>
      </c>
      <c r="N325" s="1">
        <f t="shared" si="17"/>
        <v>0.25850530296801777</v>
      </c>
      <c r="O325" s="1">
        <f t="shared" si="15"/>
        <v>0.57713831565677332</v>
      </c>
    </row>
    <row r="326" spans="1:15" ht="42" x14ac:dyDescent="0.2">
      <c r="A326" s="1" t="str">
        <f t="shared" si="16"/>
        <v>SAN MIGUEL</v>
      </c>
      <c r="B326" s="2" t="s">
        <v>169</v>
      </c>
      <c r="C326" s="4" t="s">
        <v>20</v>
      </c>
      <c r="D326" s="2" t="s">
        <v>27</v>
      </c>
      <c r="E326" s="2" t="s">
        <v>170</v>
      </c>
      <c r="F326" s="1">
        <v>63032</v>
      </c>
      <c r="H326" s="1">
        <v>71182</v>
      </c>
      <c r="I326" s="1">
        <v>9018</v>
      </c>
      <c r="K326" s="1">
        <v>163162</v>
      </c>
      <c r="M326" s="1">
        <v>250352</v>
      </c>
      <c r="N326" s="1">
        <f t="shared" si="17"/>
        <v>0.3863154410953531</v>
      </c>
      <c r="O326" s="1">
        <f t="shared" si="15"/>
        <v>0.43626579718316766</v>
      </c>
    </row>
    <row r="327" spans="1:15" ht="42" x14ac:dyDescent="0.2">
      <c r="A327" s="1" t="str">
        <f t="shared" si="16"/>
        <v>SUIPACHA</v>
      </c>
      <c r="B327" s="2" t="s">
        <v>169</v>
      </c>
      <c r="C327" s="4" t="s">
        <v>20</v>
      </c>
      <c r="D327" s="2" t="s">
        <v>38</v>
      </c>
      <c r="E327" s="2" t="s">
        <v>170</v>
      </c>
      <c r="F327" s="1">
        <v>2431</v>
      </c>
      <c r="H327" s="1">
        <v>2909</v>
      </c>
      <c r="I327" s="1">
        <v>160</v>
      </c>
      <c r="K327" s="1">
        <v>6738</v>
      </c>
      <c r="M327" s="1">
        <v>10040</v>
      </c>
      <c r="N327" s="1">
        <f t="shared" si="17"/>
        <v>0.36078955179578509</v>
      </c>
      <c r="O327" s="1">
        <f t="shared" si="15"/>
        <v>0.43173048382309293</v>
      </c>
    </row>
    <row r="328" spans="1:15" ht="42" x14ac:dyDescent="0.2">
      <c r="A328" s="1" t="str">
        <f t="shared" si="16"/>
        <v>TIGRE</v>
      </c>
      <c r="B328" s="2" t="s">
        <v>169</v>
      </c>
      <c r="C328" s="4" t="s">
        <v>20</v>
      </c>
      <c r="D328" s="2" t="s">
        <v>39</v>
      </c>
      <c r="E328" s="2" t="s">
        <v>170</v>
      </c>
      <c r="F328" s="1">
        <v>83275</v>
      </c>
      <c r="H328" s="1">
        <v>100608</v>
      </c>
      <c r="I328" s="1">
        <v>11477</v>
      </c>
      <c r="K328" s="1">
        <v>219109</v>
      </c>
      <c r="M328" s="1">
        <v>338567</v>
      </c>
      <c r="N328" s="1">
        <f t="shared" si="17"/>
        <v>0.38006197828478061</v>
      </c>
      <c r="O328" s="1">
        <f t="shared" si="15"/>
        <v>0.45916872424227212</v>
      </c>
    </row>
    <row r="329" spans="1:15" ht="42" x14ac:dyDescent="0.2">
      <c r="A329" s="1" t="str">
        <f t="shared" si="16"/>
        <v>TRES DE FEBRERO</v>
      </c>
      <c r="B329" s="2" t="s">
        <v>169</v>
      </c>
      <c r="C329" s="4" t="s">
        <v>20</v>
      </c>
      <c r="D329" s="2" t="s">
        <v>40</v>
      </c>
      <c r="E329" s="2" t="s">
        <v>170</v>
      </c>
      <c r="F329" s="1">
        <v>74787</v>
      </c>
      <c r="H329" s="1">
        <v>81930</v>
      </c>
      <c r="I329" s="1">
        <v>10804</v>
      </c>
      <c r="K329" s="1">
        <v>191234</v>
      </c>
      <c r="M329" s="1">
        <v>284279</v>
      </c>
      <c r="N329" s="1">
        <f t="shared" si="17"/>
        <v>0.39107585471202821</v>
      </c>
      <c r="O329" s="1">
        <f t="shared" si="15"/>
        <v>0.42842799920516228</v>
      </c>
    </row>
    <row r="330" spans="1:15" ht="42" x14ac:dyDescent="0.2">
      <c r="A330" s="1" t="str">
        <f t="shared" si="16"/>
        <v>VICENTE LOPEZ</v>
      </c>
      <c r="B330" s="2" t="s">
        <v>169</v>
      </c>
      <c r="C330" s="3" t="s">
        <v>20</v>
      </c>
      <c r="D330" s="2" t="s">
        <v>41</v>
      </c>
      <c r="E330" s="2" t="s">
        <v>170</v>
      </c>
      <c r="F330" s="1">
        <v>41494</v>
      </c>
      <c r="H330" s="1">
        <v>88164</v>
      </c>
      <c r="I330" s="1">
        <v>8746</v>
      </c>
      <c r="K330" s="1">
        <v>159514</v>
      </c>
      <c r="M330" s="1">
        <v>230226</v>
      </c>
      <c r="N330" s="1">
        <f t="shared" si="17"/>
        <v>0.26012763769951225</v>
      </c>
      <c r="O330" s="1">
        <f t="shared" si="15"/>
        <v>0.55270383790764444</v>
      </c>
    </row>
    <row r="331" spans="1:15" ht="42" x14ac:dyDescent="0.2">
      <c r="A331" s="1" t="str">
        <f t="shared" si="16"/>
        <v>AYACUCHO</v>
      </c>
      <c r="B331" s="2" t="s">
        <v>169</v>
      </c>
      <c r="C331" s="2" t="s">
        <v>102</v>
      </c>
      <c r="D331" s="2" t="s">
        <v>103</v>
      </c>
      <c r="E331" s="2" t="s">
        <v>170</v>
      </c>
      <c r="F331" s="1">
        <v>4285</v>
      </c>
      <c r="H331" s="1">
        <v>4593</v>
      </c>
      <c r="I331" s="1">
        <v>295</v>
      </c>
      <c r="K331" s="1">
        <v>10919</v>
      </c>
      <c r="M331" s="1">
        <v>18624</v>
      </c>
      <c r="N331" s="1">
        <f t="shared" si="17"/>
        <v>0.39243520468907411</v>
      </c>
      <c r="O331" s="1">
        <f t="shared" si="15"/>
        <v>0.42064291601795034</v>
      </c>
    </row>
    <row r="332" spans="1:15" ht="42" x14ac:dyDescent="0.2">
      <c r="A332" s="1" t="str">
        <f t="shared" si="16"/>
        <v>BALCARCE</v>
      </c>
      <c r="B332" s="2" t="s">
        <v>169</v>
      </c>
      <c r="C332" s="2" t="s">
        <v>102</v>
      </c>
      <c r="D332" s="2" t="s">
        <v>104</v>
      </c>
      <c r="E332" s="2" t="s">
        <v>170</v>
      </c>
      <c r="F332" s="1">
        <v>6535</v>
      </c>
      <c r="H332" s="1">
        <v>14760</v>
      </c>
      <c r="I332" s="1">
        <v>842</v>
      </c>
      <c r="K332" s="1">
        <v>25957</v>
      </c>
      <c r="M332" s="1">
        <v>41185</v>
      </c>
      <c r="N332" s="1">
        <f t="shared" si="17"/>
        <v>0.25176253033863699</v>
      </c>
      <c r="O332" s="1">
        <f t="shared" si="15"/>
        <v>0.56863273876025733</v>
      </c>
    </row>
    <row r="333" spans="1:15" ht="42" x14ac:dyDescent="0.2">
      <c r="A333" s="1" t="str">
        <f t="shared" si="16"/>
        <v>CASTELLI</v>
      </c>
      <c r="B333" s="2" t="s">
        <v>169</v>
      </c>
      <c r="C333" s="2" t="s">
        <v>102</v>
      </c>
      <c r="D333" s="2" t="s">
        <v>105</v>
      </c>
      <c r="E333" s="2" t="s">
        <v>170</v>
      </c>
      <c r="F333" s="1">
        <v>2409</v>
      </c>
      <c r="H333" s="1">
        <v>2393</v>
      </c>
      <c r="I333" s="1">
        <v>96</v>
      </c>
      <c r="K333" s="1">
        <v>5423</v>
      </c>
      <c r="M333" s="1">
        <v>7973</v>
      </c>
      <c r="N333" s="1">
        <f t="shared" si="17"/>
        <v>0.44421906693711966</v>
      </c>
      <c r="O333" s="1">
        <f t="shared" si="15"/>
        <v>0.44126867047759544</v>
      </c>
    </row>
    <row r="334" spans="1:15" ht="42" x14ac:dyDescent="0.2">
      <c r="A334" s="1" t="str">
        <f t="shared" si="16"/>
        <v>CHASCOMUS</v>
      </c>
      <c r="B334" s="2" t="s">
        <v>169</v>
      </c>
      <c r="C334" s="2" t="s">
        <v>102</v>
      </c>
      <c r="D334" s="2" t="s">
        <v>106</v>
      </c>
      <c r="E334" s="2" t="s">
        <v>170</v>
      </c>
      <c r="F334" s="1">
        <v>7153</v>
      </c>
      <c r="H334" s="1">
        <v>11423</v>
      </c>
      <c r="I334" s="1">
        <v>800</v>
      </c>
      <c r="K334" s="1">
        <v>22826</v>
      </c>
      <c r="M334" s="1">
        <v>35945</v>
      </c>
      <c r="N334" s="1">
        <f t="shared" si="17"/>
        <v>0.31337071760273372</v>
      </c>
      <c r="O334" s="1">
        <f t="shared" si="15"/>
        <v>0.50043809690703589</v>
      </c>
    </row>
    <row r="335" spans="1:15" ht="42" x14ac:dyDescent="0.2">
      <c r="A335" s="1" t="str">
        <f t="shared" si="16"/>
        <v>DOLORES</v>
      </c>
      <c r="B335" s="2" t="s">
        <v>169</v>
      </c>
      <c r="C335" s="2" t="s">
        <v>102</v>
      </c>
      <c r="D335" s="2" t="s">
        <v>107</v>
      </c>
      <c r="E335" s="2" t="s">
        <v>170</v>
      </c>
      <c r="F335" s="1">
        <v>6190</v>
      </c>
      <c r="H335" s="1">
        <v>8050</v>
      </c>
      <c r="I335" s="1">
        <v>332</v>
      </c>
      <c r="K335" s="1">
        <v>16132</v>
      </c>
      <c r="M335" s="1">
        <v>25770</v>
      </c>
      <c r="N335" s="1">
        <f t="shared" si="17"/>
        <v>0.38370939747086535</v>
      </c>
      <c r="O335" s="1">
        <f t="shared" si="15"/>
        <v>0.49900818249442103</v>
      </c>
    </row>
    <row r="336" spans="1:15" ht="42" x14ac:dyDescent="0.2">
      <c r="A336" s="1" t="str">
        <f t="shared" si="16"/>
        <v>GENERAL ALVARADO</v>
      </c>
      <c r="B336" s="2" t="s">
        <v>169</v>
      </c>
      <c r="C336" s="2" t="s">
        <v>102</v>
      </c>
      <c r="D336" s="2" t="s">
        <v>108</v>
      </c>
      <c r="E336" s="2" t="s">
        <v>170</v>
      </c>
      <c r="F336" s="1">
        <v>8236</v>
      </c>
      <c r="H336" s="1">
        <v>11710</v>
      </c>
      <c r="I336" s="1">
        <v>890</v>
      </c>
      <c r="K336" s="1">
        <v>24010</v>
      </c>
      <c r="M336" s="1">
        <v>40050</v>
      </c>
      <c r="N336" s="1">
        <f t="shared" si="17"/>
        <v>0.34302374010828823</v>
      </c>
      <c r="O336" s="1">
        <f t="shared" si="15"/>
        <v>0.48771345272802996</v>
      </c>
    </row>
    <row r="337" spans="1:15" ht="42" x14ac:dyDescent="0.2">
      <c r="A337" s="1" t="str">
        <f t="shared" si="16"/>
        <v>GENERAL BELGRANO</v>
      </c>
      <c r="B337" s="2" t="s">
        <v>169</v>
      </c>
      <c r="C337" s="2" t="s">
        <v>102</v>
      </c>
      <c r="D337" s="2" t="s">
        <v>109</v>
      </c>
      <c r="E337" s="2" t="s">
        <v>170</v>
      </c>
      <c r="F337" s="1">
        <v>3790</v>
      </c>
      <c r="H337" s="1">
        <v>5575</v>
      </c>
      <c r="I337" s="1">
        <v>331</v>
      </c>
      <c r="K337" s="1">
        <v>10917</v>
      </c>
      <c r="M337" s="1">
        <v>16996</v>
      </c>
      <c r="N337" s="1">
        <f t="shared" si="17"/>
        <v>0.34716497206192176</v>
      </c>
      <c r="O337" s="1">
        <f t="shared" ref="O337:O400" si="18">H337/K337</f>
        <v>0.51067142988000369</v>
      </c>
    </row>
    <row r="338" spans="1:15" ht="42" x14ac:dyDescent="0.2">
      <c r="A338" s="1" t="str">
        <f t="shared" si="16"/>
        <v>GENERAL GUIDO</v>
      </c>
      <c r="B338" s="2" t="s">
        <v>169</v>
      </c>
      <c r="C338" s="2" t="s">
        <v>102</v>
      </c>
      <c r="D338" s="2" t="s">
        <v>110</v>
      </c>
      <c r="E338" s="2" t="s">
        <v>170</v>
      </c>
      <c r="F338" s="1">
        <v>699</v>
      </c>
      <c r="H338" s="1">
        <v>627</v>
      </c>
      <c r="I338" s="1">
        <v>20</v>
      </c>
      <c r="K338" s="1">
        <v>1530</v>
      </c>
      <c r="M338" s="1">
        <v>2980</v>
      </c>
      <c r="N338" s="1">
        <f t="shared" si="17"/>
        <v>0.4568627450980392</v>
      </c>
      <c r="O338" s="1">
        <f t="shared" si="18"/>
        <v>0.40980392156862744</v>
      </c>
    </row>
    <row r="339" spans="1:15" ht="42" x14ac:dyDescent="0.2">
      <c r="A339" s="1" t="str">
        <f t="shared" si="16"/>
        <v>GENERAL LAVALLE</v>
      </c>
      <c r="B339" s="2" t="s">
        <v>169</v>
      </c>
      <c r="C339" s="2" t="s">
        <v>102</v>
      </c>
      <c r="D339" s="2" t="s">
        <v>111</v>
      </c>
      <c r="E339" s="2" t="s">
        <v>170</v>
      </c>
      <c r="F339" s="1">
        <v>1059</v>
      </c>
      <c r="H339" s="1">
        <v>1584</v>
      </c>
      <c r="I339" s="1">
        <v>66</v>
      </c>
      <c r="K339" s="1">
        <v>3098</v>
      </c>
      <c r="M339" s="1">
        <v>5391</v>
      </c>
      <c r="N339" s="1">
        <f t="shared" si="17"/>
        <v>0.34183344092963203</v>
      </c>
      <c r="O339" s="1">
        <f t="shared" si="18"/>
        <v>0.51129761136216911</v>
      </c>
    </row>
    <row r="340" spans="1:15" ht="51" x14ac:dyDescent="0.2">
      <c r="A340" s="1" t="str">
        <f t="shared" si="16"/>
        <v>GENERAL MADARIAGA</v>
      </c>
      <c r="B340" s="2" t="s">
        <v>169</v>
      </c>
      <c r="C340" s="2" t="s">
        <v>102</v>
      </c>
      <c r="D340" s="2" t="s">
        <v>112</v>
      </c>
      <c r="E340" s="2" t="s">
        <v>170</v>
      </c>
      <c r="F340" s="1">
        <v>3473</v>
      </c>
      <c r="H340" s="1">
        <v>5617</v>
      </c>
      <c r="I340" s="1">
        <v>397</v>
      </c>
      <c r="K340" s="1">
        <v>10962</v>
      </c>
      <c r="M340" s="1">
        <v>20117</v>
      </c>
      <c r="N340" s="1">
        <f t="shared" si="17"/>
        <v>0.31682174785623063</v>
      </c>
      <c r="O340" s="1">
        <f t="shared" si="18"/>
        <v>0.51240649516511583</v>
      </c>
    </row>
    <row r="341" spans="1:15" ht="42" x14ac:dyDescent="0.2">
      <c r="A341" s="1" t="str">
        <f t="shared" si="16"/>
        <v>GENERAL PAZ</v>
      </c>
      <c r="B341" s="2" t="s">
        <v>169</v>
      </c>
      <c r="C341" s="2" t="s">
        <v>102</v>
      </c>
      <c r="D341" s="2" t="s">
        <v>113</v>
      </c>
      <c r="E341" s="2" t="s">
        <v>170</v>
      </c>
      <c r="F341" s="1">
        <v>3933</v>
      </c>
      <c r="H341" s="1">
        <v>3569</v>
      </c>
      <c r="I341" s="1">
        <v>151</v>
      </c>
      <c r="K341" s="1">
        <v>8364</v>
      </c>
      <c r="M341" s="1">
        <v>11942</v>
      </c>
      <c r="N341" s="1">
        <f t="shared" si="17"/>
        <v>0.47022955523672882</v>
      </c>
      <c r="O341" s="1">
        <f t="shared" si="18"/>
        <v>0.42670970827355331</v>
      </c>
    </row>
    <row r="342" spans="1:15" ht="51" x14ac:dyDescent="0.2">
      <c r="A342" s="1" t="str">
        <f t="shared" si="16"/>
        <v>GENERAL PUEYRREDON</v>
      </c>
      <c r="B342" s="2" t="s">
        <v>169</v>
      </c>
      <c r="C342" s="2" t="s">
        <v>102</v>
      </c>
      <c r="D342" s="2" t="s">
        <v>114</v>
      </c>
      <c r="E342" s="2" t="s">
        <v>170</v>
      </c>
      <c r="F342" s="1">
        <v>108695</v>
      </c>
      <c r="H342" s="1">
        <v>172937</v>
      </c>
      <c r="I342" s="1">
        <v>17327</v>
      </c>
      <c r="K342" s="1">
        <v>350727</v>
      </c>
      <c r="M342" s="1">
        <v>574890</v>
      </c>
      <c r="N342" s="1">
        <f t="shared" si="17"/>
        <v>0.3099134084344804</v>
      </c>
      <c r="O342" s="1">
        <f t="shared" si="18"/>
        <v>0.49308151354187157</v>
      </c>
    </row>
    <row r="343" spans="1:15" ht="42" x14ac:dyDescent="0.2">
      <c r="A343" s="1" t="str">
        <f t="shared" si="16"/>
        <v>LAS FLORES</v>
      </c>
      <c r="B343" s="2" t="s">
        <v>169</v>
      </c>
      <c r="C343" s="2" t="s">
        <v>102</v>
      </c>
      <c r="D343" s="2" t="s">
        <v>115</v>
      </c>
      <c r="E343" s="2" t="s">
        <v>170</v>
      </c>
      <c r="F343" s="1">
        <v>5201</v>
      </c>
      <c r="H343" s="1">
        <v>7083</v>
      </c>
      <c r="I343" s="1">
        <v>431</v>
      </c>
      <c r="K343" s="1">
        <v>14634</v>
      </c>
      <c r="M343" s="1">
        <v>22570</v>
      </c>
      <c r="N343" s="1">
        <f t="shared" si="17"/>
        <v>0.35540522071887387</v>
      </c>
      <c r="O343" s="1">
        <f t="shared" si="18"/>
        <v>0.48400984009840098</v>
      </c>
    </row>
    <row r="344" spans="1:15" ht="42" x14ac:dyDescent="0.2">
      <c r="A344" s="1" t="str">
        <f t="shared" si="16"/>
        <v>LEZAMA</v>
      </c>
      <c r="B344" s="2" t="s">
        <v>169</v>
      </c>
      <c r="C344" s="2" t="s">
        <v>102</v>
      </c>
      <c r="D344" s="2" t="s">
        <v>129</v>
      </c>
      <c r="E344" s="2" t="s">
        <v>170</v>
      </c>
      <c r="F344" s="1">
        <v>1209</v>
      </c>
      <c r="H344" s="1">
        <v>1657</v>
      </c>
      <c r="I344" s="1">
        <v>93</v>
      </c>
      <c r="K344" s="1">
        <v>3324</v>
      </c>
      <c r="M344" s="1">
        <v>5022</v>
      </c>
      <c r="N344" s="1">
        <f t="shared" si="17"/>
        <v>0.36371841155234658</v>
      </c>
      <c r="O344" s="1">
        <f t="shared" si="18"/>
        <v>0.49849578820697954</v>
      </c>
    </row>
    <row r="345" spans="1:15" ht="42" x14ac:dyDescent="0.2">
      <c r="A345" s="1" t="str">
        <f t="shared" si="16"/>
        <v>LOBERIA</v>
      </c>
      <c r="B345" s="2" t="s">
        <v>169</v>
      </c>
      <c r="C345" s="2" t="s">
        <v>102</v>
      </c>
      <c r="D345" s="2" t="s">
        <v>116</v>
      </c>
      <c r="E345" s="2" t="s">
        <v>170</v>
      </c>
      <c r="F345" s="1">
        <v>3331</v>
      </c>
      <c r="H345" s="1">
        <v>4064</v>
      </c>
      <c r="I345" s="1">
        <v>208</v>
      </c>
      <c r="K345" s="1">
        <v>8847</v>
      </c>
      <c r="M345" s="1">
        <v>14818</v>
      </c>
      <c r="N345" s="1">
        <f t="shared" si="17"/>
        <v>0.37651181191364302</v>
      </c>
      <c r="O345" s="1">
        <f t="shared" si="18"/>
        <v>0.45936475641460384</v>
      </c>
    </row>
    <row r="346" spans="1:15" ht="42" x14ac:dyDescent="0.2">
      <c r="A346" s="1" t="str">
        <f t="shared" si="16"/>
        <v>MAIPU</v>
      </c>
      <c r="B346" s="2" t="s">
        <v>169</v>
      </c>
      <c r="C346" s="2" t="s">
        <v>102</v>
      </c>
      <c r="D346" s="2" t="s">
        <v>117</v>
      </c>
      <c r="E346" s="2" t="s">
        <v>170</v>
      </c>
      <c r="F346" s="1">
        <v>1952</v>
      </c>
      <c r="H346" s="1">
        <v>2714</v>
      </c>
      <c r="I346" s="1">
        <v>121</v>
      </c>
      <c r="K346" s="1">
        <v>5847</v>
      </c>
      <c r="M346" s="1">
        <v>10205</v>
      </c>
      <c r="N346" s="1">
        <f t="shared" si="17"/>
        <v>0.33384641696596545</v>
      </c>
      <c r="O346" s="1">
        <f t="shared" si="18"/>
        <v>0.46416965965452367</v>
      </c>
    </row>
    <row r="347" spans="1:15" ht="42" x14ac:dyDescent="0.2">
      <c r="A347" s="1" t="str">
        <f t="shared" si="16"/>
        <v>MAR CHIQUITA</v>
      </c>
      <c r="B347" s="2" t="s">
        <v>169</v>
      </c>
      <c r="C347" s="2" t="s">
        <v>102</v>
      </c>
      <c r="D347" s="2" t="s">
        <v>118</v>
      </c>
      <c r="E347" s="2" t="s">
        <v>170</v>
      </c>
      <c r="F347" s="1">
        <v>8227</v>
      </c>
      <c r="H347" s="1">
        <v>9078</v>
      </c>
      <c r="I347" s="1">
        <v>680</v>
      </c>
      <c r="K347" s="1">
        <v>20192</v>
      </c>
      <c r="M347" s="1">
        <v>33010</v>
      </c>
      <c r="N347" s="1">
        <f t="shared" si="17"/>
        <v>0.40743858954041207</v>
      </c>
      <c r="O347" s="1">
        <f t="shared" si="18"/>
        <v>0.44958399366085577</v>
      </c>
    </row>
    <row r="348" spans="1:15" ht="42" x14ac:dyDescent="0.2">
      <c r="A348" s="1" t="str">
        <f t="shared" si="16"/>
        <v>MONTE</v>
      </c>
      <c r="B348" s="2" t="s">
        <v>169</v>
      </c>
      <c r="C348" s="2" t="s">
        <v>102</v>
      </c>
      <c r="D348" s="2" t="s">
        <v>119</v>
      </c>
      <c r="E348" s="2" t="s">
        <v>170</v>
      </c>
      <c r="F348" s="1">
        <v>4515</v>
      </c>
      <c r="H348" s="1">
        <v>6409</v>
      </c>
      <c r="I348" s="1">
        <v>376</v>
      </c>
      <c r="K348" s="1">
        <v>12905</v>
      </c>
      <c r="M348" s="1">
        <v>20757</v>
      </c>
      <c r="N348" s="1">
        <f t="shared" si="17"/>
        <v>0.34986439364587368</v>
      </c>
      <c r="O348" s="1">
        <f t="shared" si="18"/>
        <v>0.49662921348314609</v>
      </c>
    </row>
    <row r="349" spans="1:15" ht="42" x14ac:dyDescent="0.2">
      <c r="A349" s="1" t="str">
        <f t="shared" si="16"/>
        <v>NECOCHEA</v>
      </c>
      <c r="B349" s="2" t="s">
        <v>169</v>
      </c>
      <c r="C349" s="2" t="s">
        <v>102</v>
      </c>
      <c r="D349" s="2" t="s">
        <v>120</v>
      </c>
      <c r="E349" s="2" t="s">
        <v>170</v>
      </c>
      <c r="F349" s="1">
        <v>15541</v>
      </c>
      <c r="H349" s="1">
        <v>27301</v>
      </c>
      <c r="I349" s="1">
        <v>2006</v>
      </c>
      <c r="K349" s="1">
        <v>51408</v>
      </c>
      <c r="M349" s="1">
        <v>87139</v>
      </c>
      <c r="N349" s="1">
        <f t="shared" si="17"/>
        <v>0.302307033924681</v>
      </c>
      <c r="O349" s="1">
        <f t="shared" si="18"/>
        <v>0.53106520385932154</v>
      </c>
    </row>
    <row r="350" spans="1:15" ht="51" x14ac:dyDescent="0.2">
      <c r="A350" s="1" t="str">
        <f t="shared" si="16"/>
        <v>PARTIDO DE LA COSTA</v>
      </c>
      <c r="B350" s="2" t="s">
        <v>169</v>
      </c>
      <c r="C350" s="2" t="s">
        <v>102</v>
      </c>
      <c r="D350" s="2" t="s">
        <v>127</v>
      </c>
      <c r="E350" s="2" t="s">
        <v>170</v>
      </c>
      <c r="F350" s="1">
        <v>18168</v>
      </c>
      <c r="H350" s="1">
        <v>22876</v>
      </c>
      <c r="I350" s="1">
        <v>2041</v>
      </c>
      <c r="K350" s="1">
        <v>48959</v>
      </c>
      <c r="M350" s="1">
        <v>83021</v>
      </c>
      <c r="N350" s="1">
        <f t="shared" si="17"/>
        <v>0.37108601074368347</v>
      </c>
      <c r="O350" s="1">
        <f t="shared" si="18"/>
        <v>0.46724810555771157</v>
      </c>
    </row>
    <row r="351" spans="1:15" ht="51" x14ac:dyDescent="0.2">
      <c r="A351" s="1" t="str">
        <f t="shared" si="16"/>
        <v>PARTIDO DE PINAMAR</v>
      </c>
      <c r="B351" s="2" t="s">
        <v>169</v>
      </c>
      <c r="C351" s="2" t="s">
        <v>102</v>
      </c>
      <c r="D351" s="2" t="s">
        <v>122</v>
      </c>
      <c r="E351" s="2" t="s">
        <v>170</v>
      </c>
      <c r="F351" s="1">
        <v>4413</v>
      </c>
      <c r="H351" s="1">
        <v>10456</v>
      </c>
      <c r="I351" s="1">
        <v>699</v>
      </c>
      <c r="K351" s="1">
        <v>17914</v>
      </c>
      <c r="M351" s="1">
        <v>31980</v>
      </c>
      <c r="N351" s="1">
        <f t="shared" si="17"/>
        <v>0.24634364184436752</v>
      </c>
      <c r="O351" s="1">
        <f t="shared" si="18"/>
        <v>0.58367757061516135</v>
      </c>
    </row>
    <row r="352" spans="1:15" ht="51" x14ac:dyDescent="0.2">
      <c r="A352" s="1" t="str">
        <f t="shared" si="16"/>
        <v>PARTIDO DE VILLA GESELL</v>
      </c>
      <c r="B352" s="2" t="s">
        <v>169</v>
      </c>
      <c r="C352" s="2" t="s">
        <v>102</v>
      </c>
      <c r="D352" s="2" t="s">
        <v>164</v>
      </c>
      <c r="E352" s="2" t="s">
        <v>170</v>
      </c>
      <c r="F352" s="1">
        <v>6227</v>
      </c>
      <c r="H352" s="1">
        <v>9135</v>
      </c>
      <c r="I352" s="1">
        <v>693</v>
      </c>
      <c r="K352" s="1">
        <v>18200</v>
      </c>
      <c r="M352" s="1">
        <v>33982</v>
      </c>
      <c r="N352" s="1">
        <f t="shared" si="17"/>
        <v>0.34214285714285714</v>
      </c>
      <c r="O352" s="1">
        <f t="shared" si="18"/>
        <v>0.50192307692307692</v>
      </c>
    </row>
    <row r="353" spans="1:15" ht="42" x14ac:dyDescent="0.2">
      <c r="A353" s="1" t="str">
        <f t="shared" si="16"/>
        <v>PILA</v>
      </c>
      <c r="B353" s="2" t="s">
        <v>169</v>
      </c>
      <c r="C353" s="2" t="s">
        <v>102</v>
      </c>
      <c r="D353" s="2" t="s">
        <v>121</v>
      </c>
      <c r="E353" s="2" t="s">
        <v>170</v>
      </c>
      <c r="F353" s="1">
        <v>999</v>
      </c>
      <c r="H353" s="1">
        <v>899</v>
      </c>
      <c r="I353" s="1">
        <v>33</v>
      </c>
      <c r="K353" s="1">
        <v>2153</v>
      </c>
      <c r="M353" s="1">
        <v>3667</v>
      </c>
      <c r="N353" s="1">
        <f t="shared" si="17"/>
        <v>0.46400371574547145</v>
      </c>
      <c r="O353" s="1">
        <f t="shared" si="18"/>
        <v>0.41755689735253138</v>
      </c>
    </row>
    <row r="354" spans="1:15" ht="42" x14ac:dyDescent="0.2">
      <c r="A354" s="1" t="str">
        <f t="shared" si="16"/>
        <v>RAUCH</v>
      </c>
      <c r="B354" s="2" t="s">
        <v>169</v>
      </c>
      <c r="C354" s="2" t="s">
        <v>102</v>
      </c>
      <c r="D354" s="2" t="s">
        <v>123</v>
      </c>
      <c r="E354" s="2" t="s">
        <v>170</v>
      </c>
      <c r="F354" s="1">
        <v>4002</v>
      </c>
      <c r="H354" s="1">
        <v>3603</v>
      </c>
      <c r="I354" s="1">
        <v>228</v>
      </c>
      <c r="K354" s="1">
        <v>9073</v>
      </c>
      <c r="M354" s="1">
        <v>14091</v>
      </c>
      <c r="N354" s="1">
        <f t="shared" si="17"/>
        <v>0.44108894522208753</v>
      </c>
      <c r="O354" s="1">
        <f t="shared" si="18"/>
        <v>0.39711231125316876</v>
      </c>
    </row>
    <row r="355" spans="1:15" ht="42" x14ac:dyDescent="0.2">
      <c r="A355" s="1" t="str">
        <f t="shared" si="16"/>
        <v>SAN CAYETANO</v>
      </c>
      <c r="B355" s="2" t="s">
        <v>169</v>
      </c>
      <c r="C355" s="2" t="s">
        <v>102</v>
      </c>
      <c r="D355" s="2" t="s">
        <v>124</v>
      </c>
      <c r="E355" s="2" t="s">
        <v>170</v>
      </c>
      <c r="F355" s="1">
        <v>1226</v>
      </c>
      <c r="H355" s="1">
        <v>2402</v>
      </c>
      <c r="I355" s="1">
        <v>110</v>
      </c>
      <c r="K355" s="1">
        <v>4320</v>
      </c>
      <c r="M355" s="1">
        <v>7422</v>
      </c>
      <c r="N355" s="1">
        <f t="shared" si="17"/>
        <v>0.28379629629629627</v>
      </c>
      <c r="O355" s="1">
        <f t="shared" si="18"/>
        <v>0.55601851851851847</v>
      </c>
    </row>
    <row r="356" spans="1:15" ht="42" x14ac:dyDescent="0.2">
      <c r="A356" s="1" t="str">
        <f t="shared" si="16"/>
        <v>TANDIL</v>
      </c>
      <c r="B356" s="2" t="s">
        <v>169</v>
      </c>
      <c r="C356" s="2" t="s">
        <v>102</v>
      </c>
      <c r="D356" s="2" t="s">
        <v>125</v>
      </c>
      <c r="E356" s="2" t="s">
        <v>170</v>
      </c>
      <c r="F356" s="1">
        <v>21961</v>
      </c>
      <c r="H356" s="1">
        <v>40132</v>
      </c>
      <c r="I356" s="1">
        <v>3150</v>
      </c>
      <c r="K356" s="1">
        <v>75951</v>
      </c>
      <c r="M356" s="1">
        <v>117504</v>
      </c>
      <c r="N356" s="1">
        <f t="shared" si="17"/>
        <v>0.2891469500072415</v>
      </c>
      <c r="O356" s="1">
        <f t="shared" si="18"/>
        <v>0.52839330621058311</v>
      </c>
    </row>
    <row r="357" spans="1:15" ht="42" x14ac:dyDescent="0.2">
      <c r="A357" s="1" t="str">
        <f t="shared" si="16"/>
        <v>TORDILLO</v>
      </c>
      <c r="B357" s="2" t="s">
        <v>169</v>
      </c>
      <c r="C357" s="2" t="s">
        <v>102</v>
      </c>
      <c r="D357" s="2" t="s">
        <v>126</v>
      </c>
      <c r="E357" s="2" t="s">
        <v>170</v>
      </c>
      <c r="F357" s="1">
        <v>657</v>
      </c>
      <c r="H357" s="1">
        <v>719</v>
      </c>
      <c r="I357" s="1">
        <v>19</v>
      </c>
      <c r="K357" s="1">
        <v>1510</v>
      </c>
      <c r="M357" s="1">
        <v>2430</v>
      </c>
      <c r="N357" s="1">
        <f t="shared" si="17"/>
        <v>0.43509933774834436</v>
      </c>
      <c r="O357" s="1">
        <f t="shared" si="18"/>
        <v>0.47615894039735102</v>
      </c>
    </row>
    <row r="358" spans="1:15" ht="42" x14ac:dyDescent="0.2">
      <c r="A358" s="1" t="str">
        <f t="shared" si="16"/>
        <v>ARRECIFES</v>
      </c>
      <c r="B358" s="2" t="s">
        <v>169</v>
      </c>
      <c r="C358" s="4" t="s">
        <v>46</v>
      </c>
      <c r="D358" s="2" t="s">
        <v>163</v>
      </c>
      <c r="E358" s="2" t="s">
        <v>170</v>
      </c>
      <c r="F358" s="1">
        <v>6531</v>
      </c>
      <c r="H358" s="1">
        <v>8392</v>
      </c>
      <c r="I358" s="1">
        <v>447</v>
      </c>
      <c r="K358" s="1">
        <v>17668</v>
      </c>
      <c r="M358" s="1">
        <v>26174</v>
      </c>
      <c r="N358" s="1">
        <f t="shared" si="17"/>
        <v>0.36965134706814579</v>
      </c>
      <c r="O358" s="1">
        <f t="shared" si="18"/>
        <v>0.47498302014942267</v>
      </c>
    </row>
    <row r="359" spans="1:15" ht="42" x14ac:dyDescent="0.2">
      <c r="A359" s="1" t="str">
        <f t="shared" si="16"/>
        <v>BARADERO</v>
      </c>
      <c r="B359" s="2" t="s">
        <v>169</v>
      </c>
      <c r="C359" s="4" t="s">
        <v>46</v>
      </c>
      <c r="D359" s="2" t="s">
        <v>47</v>
      </c>
      <c r="E359" s="2" t="s">
        <v>170</v>
      </c>
      <c r="F359" s="1">
        <v>8806</v>
      </c>
      <c r="H359" s="1">
        <v>8515</v>
      </c>
      <c r="I359" s="1">
        <v>696</v>
      </c>
      <c r="K359" s="1">
        <v>20712</v>
      </c>
      <c r="M359" s="1">
        <v>31523</v>
      </c>
      <c r="N359" s="1">
        <f t="shared" si="17"/>
        <v>0.42516415604480495</v>
      </c>
      <c r="O359" s="1">
        <f t="shared" si="18"/>
        <v>0.41111432985708768</v>
      </c>
    </row>
    <row r="360" spans="1:15" ht="42" x14ac:dyDescent="0.2">
      <c r="A360" s="1" t="str">
        <f t="shared" si="16"/>
        <v>CAPITAN SARMIENTO</v>
      </c>
      <c r="B360" s="2" t="s">
        <v>169</v>
      </c>
      <c r="C360" s="4" t="s">
        <v>46</v>
      </c>
      <c r="D360" s="2" t="s">
        <v>49</v>
      </c>
      <c r="E360" s="2" t="s">
        <v>170</v>
      </c>
      <c r="F360" s="1">
        <v>3147</v>
      </c>
      <c r="H360" s="1">
        <v>4722</v>
      </c>
      <c r="I360" s="1">
        <v>201</v>
      </c>
      <c r="K360" s="1">
        <v>9155</v>
      </c>
      <c r="M360" s="1">
        <v>13971</v>
      </c>
      <c r="N360" s="1">
        <f t="shared" si="17"/>
        <v>0.34374658656471874</v>
      </c>
      <c r="O360" s="1">
        <f t="shared" si="18"/>
        <v>0.51578372474057887</v>
      </c>
    </row>
    <row r="361" spans="1:15" ht="42" x14ac:dyDescent="0.2">
      <c r="A361" s="1" t="str">
        <f t="shared" si="16"/>
        <v>CARMEN DE ARECO</v>
      </c>
      <c r="B361" s="2" t="s">
        <v>169</v>
      </c>
      <c r="C361" s="4" t="s">
        <v>46</v>
      </c>
      <c r="D361" s="2" t="s">
        <v>50</v>
      </c>
      <c r="E361" s="2" t="s">
        <v>170</v>
      </c>
      <c r="F361" s="1">
        <v>3037</v>
      </c>
      <c r="H361" s="1">
        <v>4790</v>
      </c>
      <c r="I361" s="1">
        <v>172</v>
      </c>
      <c r="K361" s="1">
        <v>9078</v>
      </c>
      <c r="M361" s="1">
        <v>13933</v>
      </c>
      <c r="N361" s="1">
        <f t="shared" si="17"/>
        <v>0.33454505397664686</v>
      </c>
      <c r="O361" s="1">
        <f t="shared" si="18"/>
        <v>0.52764926195197182</v>
      </c>
    </row>
    <row r="362" spans="1:15" ht="42" x14ac:dyDescent="0.2">
      <c r="A362" s="1" t="str">
        <f t="shared" si="16"/>
        <v>COLON</v>
      </c>
      <c r="B362" s="2" t="s">
        <v>169</v>
      </c>
      <c r="C362" s="4" t="s">
        <v>46</v>
      </c>
      <c r="D362" s="2" t="s">
        <v>51</v>
      </c>
      <c r="E362" s="2" t="s">
        <v>170</v>
      </c>
      <c r="F362" s="1">
        <v>6323</v>
      </c>
      <c r="H362" s="1">
        <v>6149</v>
      </c>
      <c r="I362" s="1">
        <v>381</v>
      </c>
      <c r="K362" s="1">
        <v>14807</v>
      </c>
      <c r="M362" s="1">
        <v>22337</v>
      </c>
      <c r="N362" s="1">
        <f t="shared" si="17"/>
        <v>0.42702775714189234</v>
      </c>
      <c r="O362" s="1">
        <f t="shared" si="18"/>
        <v>0.41527655838454786</v>
      </c>
    </row>
    <row r="363" spans="1:15" ht="51" x14ac:dyDescent="0.2">
      <c r="A363" s="1" t="str">
        <f t="shared" si="16"/>
        <v>EXALTACION DE LA CRUZ</v>
      </c>
      <c r="B363" s="2" t="s">
        <v>169</v>
      </c>
      <c r="C363" s="4" t="s">
        <v>46</v>
      </c>
      <c r="D363" s="2" t="s">
        <v>52</v>
      </c>
      <c r="E363" s="2" t="s">
        <v>170</v>
      </c>
      <c r="F363" s="1">
        <v>7374</v>
      </c>
      <c r="H363" s="1">
        <v>11142</v>
      </c>
      <c r="I363" s="1">
        <v>756</v>
      </c>
      <c r="K363" s="1">
        <v>22147</v>
      </c>
      <c r="M363" s="1">
        <v>34019</v>
      </c>
      <c r="N363" s="1">
        <f t="shared" si="17"/>
        <v>0.33295705964690475</v>
      </c>
      <c r="O363" s="1">
        <f t="shared" si="18"/>
        <v>0.50309296970244277</v>
      </c>
    </row>
    <row r="364" spans="1:15" ht="42" x14ac:dyDescent="0.2">
      <c r="A364" s="1" t="str">
        <f t="shared" si="16"/>
        <v>PERGAMINO</v>
      </c>
      <c r="B364" s="2" t="s">
        <v>169</v>
      </c>
      <c r="C364" s="4" t="s">
        <v>46</v>
      </c>
      <c r="D364" s="2" t="s">
        <v>53</v>
      </c>
      <c r="E364" s="2" t="s">
        <v>170</v>
      </c>
      <c r="F364" s="1">
        <v>18988</v>
      </c>
      <c r="H364" s="1">
        <v>30595</v>
      </c>
      <c r="I364" s="1">
        <v>1911</v>
      </c>
      <c r="K364" s="1">
        <v>59770</v>
      </c>
      <c r="M364" s="1">
        <v>92691</v>
      </c>
      <c r="N364" s="1">
        <f t="shared" si="17"/>
        <v>0.31768445708549442</v>
      </c>
      <c r="O364" s="1">
        <f t="shared" si="18"/>
        <v>0.51187886899782498</v>
      </c>
    </row>
    <row r="365" spans="1:15" ht="42" x14ac:dyDescent="0.2">
      <c r="A365" s="1" t="str">
        <f t="shared" si="16"/>
        <v>RAMALLO</v>
      </c>
      <c r="B365" s="2" t="s">
        <v>169</v>
      </c>
      <c r="C365" s="4" t="s">
        <v>46</v>
      </c>
      <c r="D365" s="2" t="s">
        <v>54</v>
      </c>
      <c r="E365" s="2" t="s">
        <v>170</v>
      </c>
      <c r="F365" s="1">
        <v>8185</v>
      </c>
      <c r="H365" s="1">
        <v>9042</v>
      </c>
      <c r="I365" s="1">
        <v>669</v>
      </c>
      <c r="K365" s="1">
        <v>20969</v>
      </c>
      <c r="M365" s="1">
        <v>31622</v>
      </c>
      <c r="N365" s="1">
        <f t="shared" si="17"/>
        <v>0.39033811817444797</v>
      </c>
      <c r="O365" s="1">
        <f t="shared" si="18"/>
        <v>0.43120797367542563</v>
      </c>
    </row>
    <row r="366" spans="1:15" ht="42" x14ac:dyDescent="0.2">
      <c r="A366" s="1" t="str">
        <f t="shared" si="16"/>
        <v>ROJAS</v>
      </c>
      <c r="B366" s="2" t="s">
        <v>169</v>
      </c>
      <c r="C366" s="4" t="s">
        <v>46</v>
      </c>
      <c r="D366" s="2" t="s">
        <v>55</v>
      </c>
      <c r="E366" s="2" t="s">
        <v>170</v>
      </c>
      <c r="F366" s="1">
        <v>4118</v>
      </c>
      <c r="H366" s="1">
        <v>6153</v>
      </c>
      <c r="I366" s="1">
        <v>384</v>
      </c>
      <c r="K366" s="1">
        <v>13101</v>
      </c>
      <c r="M366" s="1">
        <v>21047</v>
      </c>
      <c r="N366" s="1">
        <f t="shared" si="17"/>
        <v>0.31432715059919092</v>
      </c>
      <c r="O366" s="1">
        <f t="shared" si="18"/>
        <v>0.46965880467139914</v>
      </c>
    </row>
    <row r="367" spans="1:15" ht="42" x14ac:dyDescent="0.2">
      <c r="A367" s="1" t="str">
        <f t="shared" si="16"/>
        <v>SALTO</v>
      </c>
      <c r="B367" s="2" t="s">
        <v>169</v>
      </c>
      <c r="C367" s="4" t="s">
        <v>46</v>
      </c>
      <c r="D367" s="2" t="s">
        <v>56</v>
      </c>
      <c r="E367" s="2" t="s">
        <v>170</v>
      </c>
      <c r="F367" s="1">
        <v>7147</v>
      </c>
      <c r="H367" s="1">
        <v>10215</v>
      </c>
      <c r="I367" s="1">
        <v>588</v>
      </c>
      <c r="K367" s="1">
        <v>20218</v>
      </c>
      <c r="M367" s="1">
        <v>30924</v>
      </c>
      <c r="N367" s="1">
        <f t="shared" si="17"/>
        <v>0.35349688396478385</v>
      </c>
      <c r="O367" s="1">
        <f t="shared" si="18"/>
        <v>0.50524285290335347</v>
      </c>
    </row>
    <row r="368" spans="1:15" ht="51" x14ac:dyDescent="0.2">
      <c r="A368" s="1" t="str">
        <f t="shared" si="16"/>
        <v>SAN ANDRES DE GILES</v>
      </c>
      <c r="B368" s="2" t="s">
        <v>169</v>
      </c>
      <c r="C368" s="4" t="s">
        <v>46</v>
      </c>
      <c r="D368" s="2" t="s">
        <v>57</v>
      </c>
      <c r="E368" s="2" t="s">
        <v>170</v>
      </c>
      <c r="F368" s="1">
        <v>4877</v>
      </c>
      <c r="H368" s="1">
        <v>7093</v>
      </c>
      <c r="I368" s="1">
        <v>364</v>
      </c>
      <c r="K368" s="1">
        <v>13887</v>
      </c>
      <c r="M368" s="1">
        <v>21281</v>
      </c>
      <c r="N368" s="1">
        <f t="shared" si="17"/>
        <v>0.35119176207964281</v>
      </c>
      <c r="O368" s="1">
        <f t="shared" si="18"/>
        <v>0.51076546410311807</v>
      </c>
    </row>
    <row r="369" spans="1:15" ht="51" x14ac:dyDescent="0.2">
      <c r="A369" s="1" t="str">
        <f t="shared" si="16"/>
        <v>SAN ANTONIO DE ARECO</v>
      </c>
      <c r="B369" s="2" t="s">
        <v>169</v>
      </c>
      <c r="C369" s="4" t="s">
        <v>46</v>
      </c>
      <c r="D369" s="2" t="s">
        <v>58</v>
      </c>
      <c r="E369" s="2" t="s">
        <v>170</v>
      </c>
      <c r="F369" s="1">
        <v>4022</v>
      </c>
      <c r="H369" s="1">
        <v>7605</v>
      </c>
      <c r="I369" s="1">
        <v>593</v>
      </c>
      <c r="K369" s="1">
        <v>14009</v>
      </c>
      <c r="M369" s="1">
        <v>21149</v>
      </c>
      <c r="N369" s="1">
        <f t="shared" si="17"/>
        <v>0.28710114926118924</v>
      </c>
      <c r="O369" s="1">
        <f t="shared" si="18"/>
        <v>0.542865300878007</v>
      </c>
    </row>
    <row r="370" spans="1:15" ht="42" x14ac:dyDescent="0.2">
      <c r="A370" s="1" t="str">
        <f t="shared" si="16"/>
        <v>SAN NICOLAS</v>
      </c>
      <c r="B370" s="2" t="s">
        <v>169</v>
      </c>
      <c r="C370" s="4" t="s">
        <v>46</v>
      </c>
      <c r="D370" s="2" t="s">
        <v>59</v>
      </c>
      <c r="E370" s="2" t="s">
        <v>170</v>
      </c>
      <c r="F370" s="1">
        <v>28428</v>
      </c>
      <c r="H370" s="1">
        <v>39686</v>
      </c>
      <c r="I370" s="1">
        <v>3992</v>
      </c>
      <c r="K370" s="1">
        <v>86332</v>
      </c>
      <c r="M370" s="1">
        <v>129021</v>
      </c>
      <c r="N370" s="1">
        <f t="shared" si="17"/>
        <v>0.32928693879442156</v>
      </c>
      <c r="O370" s="1">
        <f t="shared" si="18"/>
        <v>0.45969049715053517</v>
      </c>
    </row>
    <row r="371" spans="1:15" ht="42" x14ac:dyDescent="0.2">
      <c r="A371" s="1" t="str">
        <f t="shared" si="16"/>
        <v>SAN PEDRO</v>
      </c>
      <c r="B371" s="2" t="s">
        <v>169</v>
      </c>
      <c r="C371" s="4" t="s">
        <v>46</v>
      </c>
      <c r="D371" s="2" t="s">
        <v>60</v>
      </c>
      <c r="E371" s="2" t="s">
        <v>170</v>
      </c>
      <c r="F371" s="1">
        <v>11849</v>
      </c>
      <c r="H371" s="1">
        <v>17400</v>
      </c>
      <c r="I371" s="1">
        <v>1155</v>
      </c>
      <c r="K371" s="1">
        <v>36067</v>
      </c>
      <c r="M371" s="1">
        <v>55462</v>
      </c>
      <c r="N371" s="1">
        <f t="shared" si="17"/>
        <v>0.32852746277760836</v>
      </c>
      <c r="O371" s="1">
        <f t="shared" si="18"/>
        <v>0.48243546732470127</v>
      </c>
    </row>
    <row r="372" spans="1:15" ht="42" x14ac:dyDescent="0.2">
      <c r="A372" s="1" t="str">
        <f t="shared" si="16"/>
        <v>ZARATE</v>
      </c>
      <c r="B372" s="2" t="s">
        <v>169</v>
      </c>
      <c r="C372" s="3" t="s">
        <v>46</v>
      </c>
      <c r="D372" s="2" t="s">
        <v>61</v>
      </c>
      <c r="E372" s="2" t="s">
        <v>170</v>
      </c>
      <c r="F372" s="1">
        <v>28171</v>
      </c>
      <c r="H372" s="1">
        <v>27489</v>
      </c>
      <c r="I372" s="1">
        <v>2846</v>
      </c>
      <c r="K372" s="1">
        <v>67491</v>
      </c>
      <c r="M372" s="1">
        <v>103429</v>
      </c>
      <c r="N372" s="1">
        <f t="shared" si="17"/>
        <v>0.41740380198841326</v>
      </c>
      <c r="O372" s="1">
        <f t="shared" si="18"/>
        <v>0.40729875094457041</v>
      </c>
    </row>
    <row r="373" spans="1:15" ht="42" x14ac:dyDescent="0.2">
      <c r="A373" s="1" t="str">
        <f t="shared" si="16"/>
        <v>25 DE MAYO</v>
      </c>
      <c r="B373" s="2" t="s">
        <v>169</v>
      </c>
      <c r="C373" s="2" t="s">
        <v>153</v>
      </c>
      <c r="D373" s="2" t="s">
        <v>167</v>
      </c>
      <c r="E373" s="2" t="s">
        <v>170</v>
      </c>
      <c r="F373" s="1">
        <v>6347</v>
      </c>
      <c r="H373" s="1">
        <v>10225</v>
      </c>
      <c r="I373" s="1">
        <v>558</v>
      </c>
      <c r="K373" s="1">
        <v>20114</v>
      </c>
      <c r="M373" s="1">
        <v>31786</v>
      </c>
      <c r="N373" s="1">
        <f t="shared" si="17"/>
        <v>0.31555135726359751</v>
      </c>
      <c r="O373" s="1">
        <f t="shared" si="18"/>
        <v>0.50835239136919563</v>
      </c>
    </row>
    <row r="374" spans="1:15" ht="42" x14ac:dyDescent="0.2">
      <c r="A374" s="1" t="str">
        <f t="shared" si="16"/>
        <v>AZUL</v>
      </c>
      <c r="B374" s="2" t="s">
        <v>169</v>
      </c>
      <c r="C374" s="2" t="s">
        <v>153</v>
      </c>
      <c r="D374" s="2" t="s">
        <v>154</v>
      </c>
      <c r="E374" s="2" t="s">
        <v>170</v>
      </c>
      <c r="F374" s="1">
        <v>12026</v>
      </c>
      <c r="H374" s="1">
        <v>17735</v>
      </c>
      <c r="I374" s="1">
        <v>1411</v>
      </c>
      <c r="K374" s="1">
        <v>36423</v>
      </c>
      <c r="M374" s="1">
        <v>59165</v>
      </c>
      <c r="N374" s="1">
        <f t="shared" si="17"/>
        <v>0.33017598770007961</v>
      </c>
      <c r="O374" s="1">
        <f t="shared" si="18"/>
        <v>0.48691760700656178</v>
      </c>
    </row>
    <row r="375" spans="1:15" ht="42" x14ac:dyDescent="0.2">
      <c r="A375" s="1" t="str">
        <f t="shared" si="16"/>
        <v>BOLIVAR</v>
      </c>
      <c r="B375" s="2" t="s">
        <v>169</v>
      </c>
      <c r="C375" s="2" t="s">
        <v>153</v>
      </c>
      <c r="D375" s="2" t="s">
        <v>155</v>
      </c>
      <c r="E375" s="2" t="s">
        <v>170</v>
      </c>
      <c r="F375" s="1">
        <v>6614</v>
      </c>
      <c r="H375" s="1">
        <v>10329</v>
      </c>
      <c r="I375" s="1">
        <v>618</v>
      </c>
      <c r="K375" s="1">
        <v>19982</v>
      </c>
      <c r="M375" s="1">
        <v>31351</v>
      </c>
      <c r="N375" s="1">
        <f t="shared" si="17"/>
        <v>0.33099789810829749</v>
      </c>
      <c r="O375" s="1">
        <f t="shared" si="18"/>
        <v>0.51691522370133125</v>
      </c>
    </row>
    <row r="376" spans="1:15" ht="42" x14ac:dyDescent="0.2">
      <c r="A376" s="1" t="str">
        <f t="shared" si="16"/>
        <v>GENERAL ALVEAR</v>
      </c>
      <c r="B376" s="2" t="s">
        <v>169</v>
      </c>
      <c r="C376" s="2" t="s">
        <v>153</v>
      </c>
      <c r="D376" s="2" t="s">
        <v>156</v>
      </c>
      <c r="E376" s="2" t="s">
        <v>170</v>
      </c>
      <c r="F376" s="1">
        <v>1839</v>
      </c>
      <c r="H376" s="1">
        <v>2567</v>
      </c>
      <c r="I376" s="1">
        <v>73</v>
      </c>
      <c r="K376" s="1">
        <v>5356</v>
      </c>
      <c r="M376" s="1">
        <v>8994</v>
      </c>
      <c r="N376" s="1">
        <f t="shared" si="17"/>
        <v>0.3433532486930545</v>
      </c>
      <c r="O376" s="1">
        <f t="shared" si="18"/>
        <v>0.47927557879014188</v>
      </c>
    </row>
    <row r="377" spans="1:15" ht="42" x14ac:dyDescent="0.2">
      <c r="A377" s="1" t="str">
        <f t="shared" si="16"/>
        <v>OLAVARRIA</v>
      </c>
      <c r="B377" s="2" t="s">
        <v>169</v>
      </c>
      <c r="C377" s="2" t="s">
        <v>153</v>
      </c>
      <c r="D377" s="2" t="s">
        <v>157</v>
      </c>
      <c r="E377" s="2" t="s">
        <v>170</v>
      </c>
      <c r="F377" s="1">
        <v>21423</v>
      </c>
      <c r="H377" s="1">
        <v>31427</v>
      </c>
      <c r="I377" s="1">
        <v>2779</v>
      </c>
      <c r="K377" s="1">
        <v>63279</v>
      </c>
      <c r="M377" s="1">
        <v>99230</v>
      </c>
      <c r="N377" s="1">
        <f t="shared" si="17"/>
        <v>0.33854833357037878</v>
      </c>
      <c r="O377" s="1">
        <f t="shared" si="18"/>
        <v>0.49664185590796317</v>
      </c>
    </row>
    <row r="378" spans="1:15" ht="42" x14ac:dyDescent="0.2">
      <c r="A378" s="1" t="str">
        <f t="shared" si="16"/>
        <v>ROQUE PEREZ</v>
      </c>
      <c r="B378" s="2" t="s">
        <v>169</v>
      </c>
      <c r="C378" s="2" t="s">
        <v>153</v>
      </c>
      <c r="D378" s="2" t="s">
        <v>158</v>
      </c>
      <c r="E378" s="2" t="s">
        <v>170</v>
      </c>
      <c r="F378" s="1">
        <v>2376</v>
      </c>
      <c r="H378" s="1">
        <v>3665</v>
      </c>
      <c r="I378" s="1">
        <v>194</v>
      </c>
      <c r="K378" s="1">
        <v>7189</v>
      </c>
      <c r="M378" s="1">
        <v>11613</v>
      </c>
      <c r="N378" s="1">
        <f t="shared" si="17"/>
        <v>0.3305049380998748</v>
      </c>
      <c r="O378" s="1">
        <f t="shared" si="18"/>
        <v>0.50980664904715534</v>
      </c>
    </row>
    <row r="379" spans="1:15" ht="42" x14ac:dyDescent="0.2">
      <c r="A379" s="1" t="str">
        <f t="shared" si="16"/>
        <v>SALADILLO</v>
      </c>
      <c r="B379" s="2" t="s">
        <v>169</v>
      </c>
      <c r="C379" s="2" t="s">
        <v>153</v>
      </c>
      <c r="D379" s="2" t="s">
        <v>159</v>
      </c>
      <c r="E379" s="2" t="s">
        <v>170</v>
      </c>
      <c r="F379" s="1">
        <v>5418</v>
      </c>
      <c r="H379" s="1">
        <v>10039</v>
      </c>
      <c r="I379" s="1">
        <v>458</v>
      </c>
      <c r="K379" s="1">
        <v>18642</v>
      </c>
      <c r="M379" s="1">
        <v>29509</v>
      </c>
      <c r="N379" s="1">
        <f t="shared" si="17"/>
        <v>0.29063405214032828</v>
      </c>
      <c r="O379" s="1">
        <f t="shared" si="18"/>
        <v>0.53851518077459504</v>
      </c>
    </row>
    <row r="380" spans="1:15" ht="42" x14ac:dyDescent="0.2">
      <c r="A380" s="1" t="str">
        <f t="shared" si="16"/>
        <v>ADOLFO ALSINA</v>
      </c>
      <c r="B380" s="2" t="s">
        <v>169</v>
      </c>
      <c r="C380" s="2" t="s">
        <v>130</v>
      </c>
      <c r="D380" s="2" t="s">
        <v>131</v>
      </c>
      <c r="E380" s="2" t="s">
        <v>170</v>
      </c>
      <c r="F380" s="1">
        <v>2377</v>
      </c>
      <c r="H380" s="1">
        <v>4617</v>
      </c>
      <c r="I380" s="1">
        <v>208</v>
      </c>
      <c r="K380" s="1">
        <v>8376</v>
      </c>
      <c r="M380" s="1">
        <v>14356</v>
      </c>
      <c r="N380" s="1">
        <f t="shared" si="17"/>
        <v>0.28378701050620819</v>
      </c>
      <c r="O380" s="1">
        <f t="shared" si="18"/>
        <v>0.55121776504297992</v>
      </c>
    </row>
    <row r="381" spans="1:15" ht="51" x14ac:dyDescent="0.2">
      <c r="A381" s="1" t="str">
        <f t="shared" si="16"/>
        <v>ADOLFO GONZALES CHAVES</v>
      </c>
      <c r="B381" s="2" t="s">
        <v>169</v>
      </c>
      <c r="C381" s="2" t="s">
        <v>130</v>
      </c>
      <c r="D381" s="2" t="s">
        <v>165</v>
      </c>
      <c r="E381" s="2" t="s">
        <v>170</v>
      </c>
      <c r="F381" s="1">
        <v>2339</v>
      </c>
      <c r="H381" s="1">
        <v>2627</v>
      </c>
      <c r="I381" s="1">
        <v>120</v>
      </c>
      <c r="K381" s="1">
        <v>6155</v>
      </c>
      <c r="M381" s="1">
        <v>10832</v>
      </c>
      <c r="N381" s="1">
        <f t="shared" si="17"/>
        <v>0.38001624695369618</v>
      </c>
      <c r="O381" s="1">
        <f t="shared" si="18"/>
        <v>0.42680747359870025</v>
      </c>
    </row>
    <row r="382" spans="1:15" ht="42" x14ac:dyDescent="0.2">
      <c r="A382" s="1" t="str">
        <f t="shared" si="16"/>
        <v>BAHIA BLANCA</v>
      </c>
      <c r="B382" s="2" t="s">
        <v>169</v>
      </c>
      <c r="C382" s="2" t="s">
        <v>130</v>
      </c>
      <c r="D382" s="2" t="s">
        <v>132</v>
      </c>
      <c r="E382" s="2" t="s">
        <v>170</v>
      </c>
      <c r="F382" s="1">
        <v>42912</v>
      </c>
      <c r="H382" s="1">
        <v>88107</v>
      </c>
      <c r="I382" s="1">
        <v>8965</v>
      </c>
      <c r="K382" s="1">
        <v>162903</v>
      </c>
      <c r="M382" s="1">
        <v>254940</v>
      </c>
      <c r="N382" s="1">
        <f t="shared" si="17"/>
        <v>0.26342056315721624</v>
      </c>
      <c r="O382" s="1">
        <f t="shared" si="18"/>
        <v>0.54085560118598186</v>
      </c>
    </row>
    <row r="383" spans="1:15" ht="42" x14ac:dyDescent="0.2">
      <c r="A383" s="1" t="str">
        <f t="shared" si="16"/>
        <v>BENITO JUAREZ</v>
      </c>
      <c r="B383" s="2" t="s">
        <v>169</v>
      </c>
      <c r="C383" s="2" t="s">
        <v>130</v>
      </c>
      <c r="D383" s="2" t="s">
        <v>142</v>
      </c>
      <c r="E383" s="2" t="s">
        <v>170</v>
      </c>
      <c r="F383" s="1">
        <v>4950</v>
      </c>
      <c r="H383" s="1">
        <v>4708</v>
      </c>
      <c r="I383" s="1">
        <v>287</v>
      </c>
      <c r="K383" s="1">
        <v>11113</v>
      </c>
      <c r="M383" s="1">
        <v>17926</v>
      </c>
      <c r="N383" s="1">
        <f t="shared" si="17"/>
        <v>0.44542427787276162</v>
      </c>
      <c r="O383" s="1">
        <f t="shared" si="18"/>
        <v>0.42364797984342661</v>
      </c>
    </row>
    <row r="384" spans="1:15" ht="42" x14ac:dyDescent="0.2">
      <c r="A384" s="1" t="str">
        <f t="shared" si="16"/>
        <v>CORONEL DORREGO</v>
      </c>
      <c r="B384" s="2" t="s">
        <v>169</v>
      </c>
      <c r="C384" s="2" t="s">
        <v>130</v>
      </c>
      <c r="D384" s="2" t="s">
        <v>134</v>
      </c>
      <c r="E384" s="2" t="s">
        <v>170</v>
      </c>
      <c r="F384" s="1">
        <v>2436</v>
      </c>
      <c r="H384" s="1">
        <v>4608</v>
      </c>
      <c r="I384" s="1">
        <v>194</v>
      </c>
      <c r="K384" s="1">
        <v>8436</v>
      </c>
      <c r="M384" s="1">
        <v>13896</v>
      </c>
      <c r="N384" s="1">
        <f t="shared" si="17"/>
        <v>0.28876244665718348</v>
      </c>
      <c r="O384" s="1">
        <f t="shared" si="18"/>
        <v>0.54623044096728313</v>
      </c>
    </row>
    <row r="385" spans="1:15" ht="42" x14ac:dyDescent="0.2">
      <c r="A385" s="1" t="str">
        <f t="shared" si="16"/>
        <v>CORONEL PRINGLES</v>
      </c>
      <c r="B385" s="2" t="s">
        <v>169</v>
      </c>
      <c r="C385" s="2" t="s">
        <v>130</v>
      </c>
      <c r="D385" s="2" t="s">
        <v>135</v>
      </c>
      <c r="E385" s="2" t="s">
        <v>170</v>
      </c>
      <c r="F385" s="1">
        <v>3052</v>
      </c>
      <c r="H385" s="1">
        <v>6520</v>
      </c>
      <c r="I385" s="1">
        <v>543</v>
      </c>
      <c r="K385" s="1">
        <v>11701</v>
      </c>
      <c r="M385" s="1">
        <v>20439</v>
      </c>
      <c r="N385" s="1">
        <f t="shared" si="17"/>
        <v>0.26083240748653963</v>
      </c>
      <c r="O385" s="1">
        <f t="shared" si="18"/>
        <v>0.55721733185197841</v>
      </c>
    </row>
    <row r="386" spans="1:15" ht="42" x14ac:dyDescent="0.2">
      <c r="A386" s="1" t="str">
        <f t="shared" si="16"/>
        <v>CORONEL ROSALES</v>
      </c>
      <c r="B386" s="2" t="s">
        <v>169</v>
      </c>
      <c r="C386" s="2" t="s">
        <v>130</v>
      </c>
      <c r="D386" s="2" t="s">
        <v>136</v>
      </c>
      <c r="E386" s="2" t="s">
        <v>170</v>
      </c>
      <c r="F386" s="1">
        <v>6851</v>
      </c>
      <c r="H386" s="1">
        <v>20427</v>
      </c>
      <c r="I386" s="1">
        <v>1218</v>
      </c>
      <c r="K386" s="1">
        <v>33146</v>
      </c>
      <c r="M386" s="1">
        <v>51989</v>
      </c>
      <c r="N386" s="1">
        <f t="shared" si="17"/>
        <v>0.20669160683038679</v>
      </c>
      <c r="O386" s="1">
        <f t="shared" si="18"/>
        <v>0.61627345682736978</v>
      </c>
    </row>
    <row r="387" spans="1:15" ht="42" x14ac:dyDescent="0.2">
      <c r="A387" s="1" t="str">
        <f t="shared" ref="A387:A422" si="19">D387</f>
        <v>CORONEL SUAREZ</v>
      </c>
      <c r="B387" s="2" t="s">
        <v>169</v>
      </c>
      <c r="C387" s="2" t="s">
        <v>130</v>
      </c>
      <c r="D387" s="2" t="s">
        <v>137</v>
      </c>
      <c r="E387" s="2" t="s">
        <v>170</v>
      </c>
      <c r="F387" s="1">
        <v>6104</v>
      </c>
      <c r="H387" s="1">
        <v>11289</v>
      </c>
      <c r="I387" s="1">
        <v>862</v>
      </c>
      <c r="K387" s="1">
        <v>21484</v>
      </c>
      <c r="M387" s="1">
        <v>35109</v>
      </c>
      <c r="N387" s="1">
        <f t="shared" ref="N387:N422" si="20">F387/K387</f>
        <v>0.284118413703221</v>
      </c>
      <c r="O387" s="1">
        <f t="shared" si="18"/>
        <v>0.52546080804319495</v>
      </c>
    </row>
    <row r="388" spans="1:15" ht="42" x14ac:dyDescent="0.2">
      <c r="A388" s="1" t="str">
        <f t="shared" si="19"/>
        <v>DAIREAUX</v>
      </c>
      <c r="B388" s="2" t="s">
        <v>169</v>
      </c>
      <c r="C388" s="2" t="s">
        <v>130</v>
      </c>
      <c r="D388" s="2" t="s">
        <v>138</v>
      </c>
      <c r="E388" s="2" t="s">
        <v>170</v>
      </c>
      <c r="F388" s="1">
        <v>3494</v>
      </c>
      <c r="H388" s="1">
        <v>4746</v>
      </c>
      <c r="I388" s="1">
        <v>195</v>
      </c>
      <c r="K388" s="1">
        <v>9349</v>
      </c>
      <c r="M388" s="1">
        <v>15367</v>
      </c>
      <c r="N388" s="1">
        <f t="shared" si="20"/>
        <v>0.37372981067493849</v>
      </c>
      <c r="O388" s="1">
        <f t="shared" si="18"/>
        <v>0.50764787677826506</v>
      </c>
    </row>
    <row r="389" spans="1:15" ht="42" x14ac:dyDescent="0.2">
      <c r="A389" s="1" t="str">
        <f t="shared" si="19"/>
        <v>GENERAL LA MADRID</v>
      </c>
      <c r="B389" s="2" t="s">
        <v>169</v>
      </c>
      <c r="C389" s="2" t="s">
        <v>130</v>
      </c>
      <c r="D389" s="2" t="s">
        <v>139</v>
      </c>
      <c r="E389" s="2" t="s">
        <v>170</v>
      </c>
      <c r="F389" s="1">
        <v>2022</v>
      </c>
      <c r="H389" s="1">
        <v>3030</v>
      </c>
      <c r="I389" s="1">
        <v>141</v>
      </c>
      <c r="K389" s="1">
        <v>5894</v>
      </c>
      <c r="M389" s="1">
        <v>9834</v>
      </c>
      <c r="N389" s="1">
        <f t="shared" si="20"/>
        <v>0.34306073973532408</v>
      </c>
      <c r="O389" s="1">
        <f t="shared" si="18"/>
        <v>0.51408211740753307</v>
      </c>
    </row>
    <row r="390" spans="1:15" ht="42" x14ac:dyDescent="0.2">
      <c r="A390" s="1" t="str">
        <f t="shared" si="19"/>
        <v>GUAMINI</v>
      </c>
      <c r="B390" s="2" t="s">
        <v>169</v>
      </c>
      <c r="C390" s="2" t="s">
        <v>130</v>
      </c>
      <c r="D390" s="2" t="s">
        <v>141</v>
      </c>
      <c r="E390" s="2" t="s">
        <v>170</v>
      </c>
      <c r="F390" s="1">
        <v>2347</v>
      </c>
      <c r="H390" s="1">
        <v>3045</v>
      </c>
      <c r="I390" s="1">
        <v>117</v>
      </c>
      <c r="K390" s="1">
        <v>6086</v>
      </c>
      <c r="M390" s="1">
        <v>10064</v>
      </c>
      <c r="N390" s="1">
        <f t="shared" si="20"/>
        <v>0.38563917186986524</v>
      </c>
      <c r="O390" s="1">
        <f t="shared" si="18"/>
        <v>0.50032862306933945</v>
      </c>
    </row>
    <row r="391" spans="1:15" ht="42" x14ac:dyDescent="0.2">
      <c r="A391" s="1" t="str">
        <f t="shared" si="19"/>
        <v>LAPRIDA</v>
      </c>
      <c r="B391" s="2" t="s">
        <v>169</v>
      </c>
      <c r="C391" s="2" t="s">
        <v>130</v>
      </c>
      <c r="D391" s="2" t="s">
        <v>143</v>
      </c>
      <c r="E391" s="2" t="s">
        <v>170</v>
      </c>
      <c r="F391" s="1">
        <v>2792</v>
      </c>
      <c r="H391" s="1">
        <v>2793</v>
      </c>
      <c r="I391" s="1">
        <v>105</v>
      </c>
      <c r="K391" s="1">
        <v>6289</v>
      </c>
      <c r="M391" s="1">
        <v>9944</v>
      </c>
      <c r="N391" s="1">
        <f t="shared" si="20"/>
        <v>0.44394975353792338</v>
      </c>
      <c r="O391" s="1">
        <f t="shared" si="18"/>
        <v>0.44410876132930516</v>
      </c>
    </row>
    <row r="392" spans="1:15" ht="42" x14ac:dyDescent="0.2">
      <c r="A392" s="1" t="str">
        <f t="shared" si="19"/>
        <v>MONTE HERMOSO</v>
      </c>
      <c r="B392" s="2" t="s">
        <v>169</v>
      </c>
      <c r="C392" s="2" t="s">
        <v>130</v>
      </c>
      <c r="D392" s="2" t="s">
        <v>150</v>
      </c>
      <c r="E392" s="2" t="s">
        <v>170</v>
      </c>
      <c r="F392" s="1">
        <v>2378</v>
      </c>
      <c r="H392" s="1">
        <v>2475</v>
      </c>
      <c r="I392" s="1">
        <v>164</v>
      </c>
      <c r="K392" s="1">
        <v>5599</v>
      </c>
      <c r="M392" s="1">
        <v>9435</v>
      </c>
      <c r="N392" s="1">
        <f t="shared" si="20"/>
        <v>0.42471869976781568</v>
      </c>
      <c r="O392" s="1">
        <f t="shared" si="18"/>
        <v>0.44204322200392926</v>
      </c>
    </row>
    <row r="393" spans="1:15" ht="42" x14ac:dyDescent="0.2">
      <c r="A393" s="1" t="str">
        <f t="shared" si="19"/>
        <v>PATAGONES</v>
      </c>
      <c r="B393" s="2" t="s">
        <v>169</v>
      </c>
      <c r="C393" s="2" t="s">
        <v>130</v>
      </c>
      <c r="D393" s="2" t="s">
        <v>133</v>
      </c>
      <c r="E393" s="2" t="s">
        <v>170</v>
      </c>
      <c r="F393" s="1">
        <v>6440</v>
      </c>
      <c r="H393" s="1">
        <v>8323</v>
      </c>
      <c r="I393" s="1">
        <v>485</v>
      </c>
      <c r="K393" s="1">
        <v>17320</v>
      </c>
      <c r="M393" s="1">
        <v>28892</v>
      </c>
      <c r="N393" s="1">
        <f t="shared" si="20"/>
        <v>0.37182448036951499</v>
      </c>
      <c r="O393" s="1">
        <f t="shared" si="18"/>
        <v>0.48054272517321017</v>
      </c>
    </row>
    <row r="394" spans="1:15" ht="42" x14ac:dyDescent="0.2">
      <c r="A394" s="1" t="str">
        <f t="shared" si="19"/>
        <v>PELLEGRINI</v>
      </c>
      <c r="B394" s="2" t="s">
        <v>169</v>
      </c>
      <c r="C394" s="2" t="s">
        <v>130</v>
      </c>
      <c r="D394" s="2" t="s">
        <v>144</v>
      </c>
      <c r="E394" s="2" t="s">
        <v>170</v>
      </c>
      <c r="F394" s="1">
        <v>964</v>
      </c>
      <c r="H394" s="1">
        <v>1591</v>
      </c>
      <c r="I394" s="1">
        <v>41</v>
      </c>
      <c r="K394" s="1">
        <v>2976</v>
      </c>
      <c r="M394" s="1">
        <v>5262</v>
      </c>
      <c r="N394" s="1">
        <f t="shared" si="20"/>
        <v>0.32392473118279569</v>
      </c>
      <c r="O394" s="1">
        <f t="shared" si="18"/>
        <v>0.53461021505376349</v>
      </c>
    </row>
    <row r="395" spans="1:15" ht="42" x14ac:dyDescent="0.2">
      <c r="A395" s="1" t="str">
        <f t="shared" si="19"/>
        <v>PUAN</v>
      </c>
      <c r="B395" s="2" t="s">
        <v>169</v>
      </c>
      <c r="C395" s="2" t="s">
        <v>130</v>
      </c>
      <c r="D395" s="2" t="s">
        <v>145</v>
      </c>
      <c r="E395" s="2" t="s">
        <v>170</v>
      </c>
      <c r="F395" s="1">
        <v>1840</v>
      </c>
      <c r="H395" s="1">
        <v>4974</v>
      </c>
      <c r="I395" s="1">
        <v>327</v>
      </c>
      <c r="K395" s="1">
        <v>8539</v>
      </c>
      <c r="M395" s="1">
        <v>14129</v>
      </c>
      <c r="N395" s="1">
        <f t="shared" si="20"/>
        <v>0.21548190654643401</v>
      </c>
      <c r="O395" s="1">
        <f t="shared" si="18"/>
        <v>0.58250380606628416</v>
      </c>
    </row>
    <row r="396" spans="1:15" ht="42" x14ac:dyDescent="0.2">
      <c r="A396" s="1" t="str">
        <f t="shared" si="19"/>
        <v>SAAVEDRA</v>
      </c>
      <c r="B396" s="2" t="s">
        <v>169</v>
      </c>
      <c r="C396" s="2" t="s">
        <v>130</v>
      </c>
      <c r="D396" s="2" t="s">
        <v>146</v>
      </c>
      <c r="E396" s="2" t="s">
        <v>170</v>
      </c>
      <c r="F396" s="1">
        <v>2794</v>
      </c>
      <c r="H396" s="1">
        <v>6431</v>
      </c>
      <c r="I396" s="1">
        <v>306</v>
      </c>
      <c r="K396" s="1">
        <v>11097</v>
      </c>
      <c r="M396" s="1">
        <v>18620</v>
      </c>
      <c r="N396" s="1">
        <f t="shared" si="20"/>
        <v>0.25177976029557536</v>
      </c>
      <c r="O396" s="1">
        <f t="shared" si="18"/>
        <v>0.57952599801748217</v>
      </c>
    </row>
    <row r="397" spans="1:15" ht="42" x14ac:dyDescent="0.2">
      <c r="A397" s="1" t="str">
        <f t="shared" si="19"/>
        <v>SALLIQUELO</v>
      </c>
      <c r="B397" s="2" t="s">
        <v>169</v>
      </c>
      <c r="C397" s="2" t="s">
        <v>130</v>
      </c>
      <c r="D397" s="2" t="s">
        <v>147</v>
      </c>
      <c r="E397" s="2" t="s">
        <v>170</v>
      </c>
      <c r="F397" s="1">
        <v>2069</v>
      </c>
      <c r="H397" s="1">
        <v>2325</v>
      </c>
      <c r="I397" s="1">
        <v>71</v>
      </c>
      <c r="K397" s="1">
        <v>4901</v>
      </c>
      <c r="M397" s="1">
        <v>7827</v>
      </c>
      <c r="N397" s="1">
        <f t="shared" si="20"/>
        <v>0.42215874311365026</v>
      </c>
      <c r="O397" s="1">
        <f t="shared" si="18"/>
        <v>0.47439298102428074</v>
      </c>
    </row>
    <row r="398" spans="1:15" ht="42" x14ac:dyDescent="0.2">
      <c r="A398" s="1" t="str">
        <f t="shared" si="19"/>
        <v>TORQUINST</v>
      </c>
      <c r="B398" s="2" t="s">
        <v>169</v>
      </c>
      <c r="C398" s="2" t="s">
        <v>130</v>
      </c>
      <c r="D398" s="2" t="s">
        <v>166</v>
      </c>
      <c r="E398" s="2" t="s">
        <v>170</v>
      </c>
      <c r="F398" s="1">
        <v>5299</v>
      </c>
      <c r="H398" s="1">
        <v>7432</v>
      </c>
      <c r="I398" s="1">
        <v>400</v>
      </c>
      <c r="K398" s="1">
        <v>14750</v>
      </c>
      <c r="M398" s="1">
        <v>25016</v>
      </c>
      <c r="N398" s="1">
        <f t="shared" si="20"/>
        <v>0.3592542372881356</v>
      </c>
      <c r="O398" s="1">
        <f t="shared" si="18"/>
        <v>0.50386440677966104</v>
      </c>
    </row>
    <row r="399" spans="1:15" ht="42" x14ac:dyDescent="0.2">
      <c r="A399" s="1" t="str">
        <f t="shared" si="19"/>
        <v>TRES ARROYOS</v>
      </c>
      <c r="B399" s="2" t="s">
        <v>169</v>
      </c>
      <c r="C399" s="2" t="s">
        <v>130</v>
      </c>
      <c r="D399" s="2" t="s">
        <v>149</v>
      </c>
      <c r="E399" s="2" t="s">
        <v>170</v>
      </c>
      <c r="F399" s="1">
        <v>11487</v>
      </c>
      <c r="H399" s="1">
        <v>15915</v>
      </c>
      <c r="I399" s="1">
        <v>1240</v>
      </c>
      <c r="K399" s="1">
        <v>32835</v>
      </c>
      <c r="M399" s="1">
        <v>53807</v>
      </c>
      <c r="N399" s="1">
        <f t="shared" si="20"/>
        <v>0.34984010963910461</v>
      </c>
      <c r="O399" s="1">
        <f t="shared" si="18"/>
        <v>0.48469620831429877</v>
      </c>
    </row>
    <row r="400" spans="1:15" ht="42" x14ac:dyDescent="0.2">
      <c r="A400" s="1" t="str">
        <f t="shared" si="19"/>
        <v>TRES LOMAS</v>
      </c>
      <c r="B400" s="2" t="s">
        <v>169</v>
      </c>
      <c r="C400" s="2" t="s">
        <v>130</v>
      </c>
      <c r="D400" s="2" t="s">
        <v>152</v>
      </c>
      <c r="E400" s="2" t="s">
        <v>170</v>
      </c>
      <c r="F400" s="1">
        <v>1622</v>
      </c>
      <c r="H400" s="1">
        <v>2009</v>
      </c>
      <c r="I400" s="1">
        <v>75</v>
      </c>
      <c r="K400" s="1">
        <v>4135</v>
      </c>
      <c r="M400" s="1">
        <v>6951</v>
      </c>
      <c r="N400" s="1">
        <f t="shared" si="20"/>
        <v>0.39226118500604595</v>
      </c>
      <c r="O400" s="1">
        <f t="shared" si="18"/>
        <v>0.48585247883917776</v>
      </c>
    </row>
    <row r="401" spans="1:15" ht="42" x14ac:dyDescent="0.2">
      <c r="A401" s="1" t="str">
        <f t="shared" si="19"/>
        <v>VILLARINO</v>
      </c>
      <c r="B401" s="2" t="s">
        <v>169</v>
      </c>
      <c r="C401" s="2" t="s">
        <v>130</v>
      </c>
      <c r="D401" s="2" t="s">
        <v>151</v>
      </c>
      <c r="E401" s="2" t="s">
        <v>170</v>
      </c>
      <c r="F401" s="1">
        <v>3940</v>
      </c>
      <c r="H401" s="1">
        <v>8670</v>
      </c>
      <c r="I401" s="1">
        <v>376</v>
      </c>
      <c r="K401" s="1">
        <v>14757</v>
      </c>
      <c r="M401" s="1">
        <v>25067</v>
      </c>
      <c r="N401" s="1">
        <f t="shared" si="20"/>
        <v>0.26699193603035848</v>
      </c>
      <c r="O401" s="1">
        <f t="shared" ref="O401:O422" si="21">H401/K401</f>
        <v>0.58751778816832689</v>
      </c>
    </row>
    <row r="402" spans="1:15" ht="42" x14ac:dyDescent="0.2">
      <c r="A402" s="1" t="str">
        <f t="shared" si="19"/>
        <v>ALMIRANTE BROWN</v>
      </c>
      <c r="B402" s="2" t="s">
        <v>169</v>
      </c>
      <c r="C402" s="4" t="s">
        <v>62</v>
      </c>
      <c r="D402" s="2" t="s">
        <v>63</v>
      </c>
      <c r="E402" s="2" t="s">
        <v>170</v>
      </c>
      <c r="F402" s="1">
        <v>150981</v>
      </c>
      <c r="H402" s="1">
        <v>103415</v>
      </c>
      <c r="I402" s="1">
        <v>17586</v>
      </c>
      <c r="K402" s="1">
        <v>307245</v>
      </c>
      <c r="M402" s="1">
        <v>460557</v>
      </c>
      <c r="N402" s="1">
        <f t="shared" si="20"/>
        <v>0.49140262656837375</v>
      </c>
      <c r="O402" s="1">
        <f t="shared" si="21"/>
        <v>0.33658806489934745</v>
      </c>
    </row>
    <row r="403" spans="1:15" ht="42" x14ac:dyDescent="0.2">
      <c r="A403" s="1" t="str">
        <f t="shared" si="19"/>
        <v>AVELLANEDA</v>
      </c>
      <c r="B403" s="2" t="s">
        <v>169</v>
      </c>
      <c r="C403" s="4" t="s">
        <v>62</v>
      </c>
      <c r="D403" s="2" t="s">
        <v>64</v>
      </c>
      <c r="E403" s="2" t="s">
        <v>170</v>
      </c>
      <c r="F403" s="1">
        <v>95148</v>
      </c>
      <c r="H403" s="1">
        <v>72497</v>
      </c>
      <c r="I403" s="1">
        <v>10614</v>
      </c>
      <c r="K403" s="1">
        <v>201051</v>
      </c>
      <c r="M403" s="1">
        <v>297186</v>
      </c>
      <c r="N403" s="1">
        <f t="shared" si="20"/>
        <v>0.47325305519495053</v>
      </c>
      <c r="O403" s="1">
        <f t="shared" si="21"/>
        <v>0.36059009902959943</v>
      </c>
    </row>
    <row r="404" spans="1:15" ht="42" x14ac:dyDescent="0.2">
      <c r="A404" s="1" t="str">
        <f t="shared" si="19"/>
        <v>BERAZATEGUI</v>
      </c>
      <c r="B404" s="2" t="s">
        <v>169</v>
      </c>
      <c r="C404" s="4" t="s">
        <v>62</v>
      </c>
      <c r="D404" s="2" t="s">
        <v>65</v>
      </c>
      <c r="E404" s="2" t="s">
        <v>170</v>
      </c>
      <c r="F404" s="1">
        <v>90144</v>
      </c>
      <c r="H404" s="1">
        <v>71345</v>
      </c>
      <c r="I404" s="1">
        <v>11084</v>
      </c>
      <c r="K404" s="1">
        <v>195627</v>
      </c>
      <c r="M404" s="1">
        <v>279414</v>
      </c>
      <c r="N404" s="1">
        <f t="shared" si="20"/>
        <v>0.46079528899385053</v>
      </c>
      <c r="O404" s="1">
        <f t="shared" si="21"/>
        <v>0.36469914684578303</v>
      </c>
    </row>
    <row r="405" spans="1:15" ht="42" x14ac:dyDescent="0.2">
      <c r="A405" s="1" t="str">
        <f t="shared" si="19"/>
        <v>BERISSO</v>
      </c>
      <c r="B405" s="2" t="s">
        <v>169</v>
      </c>
      <c r="C405" s="4" t="s">
        <v>62</v>
      </c>
      <c r="D405" s="2" t="s">
        <v>66</v>
      </c>
      <c r="E405" s="2" t="s">
        <v>170</v>
      </c>
      <c r="F405" s="1">
        <v>25666</v>
      </c>
      <c r="H405" s="1">
        <v>21538</v>
      </c>
      <c r="I405" s="1">
        <v>3398</v>
      </c>
      <c r="K405" s="1">
        <v>57326</v>
      </c>
      <c r="M405" s="1">
        <v>83222</v>
      </c>
      <c r="N405" s="1">
        <f t="shared" si="20"/>
        <v>0.44772005721662073</v>
      </c>
      <c r="O405" s="1">
        <f t="shared" si="21"/>
        <v>0.37571084673621047</v>
      </c>
    </row>
    <row r="406" spans="1:15" ht="42" x14ac:dyDescent="0.2">
      <c r="A406" s="1" t="str">
        <f t="shared" si="19"/>
        <v>BRANDSEN</v>
      </c>
      <c r="B406" s="2" t="s">
        <v>169</v>
      </c>
      <c r="C406" s="4" t="s">
        <v>62</v>
      </c>
      <c r="D406" s="2" t="s">
        <v>67</v>
      </c>
      <c r="E406" s="2" t="s">
        <v>170</v>
      </c>
      <c r="F406" s="1">
        <v>6694</v>
      </c>
      <c r="H406" s="1">
        <v>8365</v>
      </c>
      <c r="I406" s="1">
        <v>591</v>
      </c>
      <c r="K406" s="1">
        <v>17955</v>
      </c>
      <c r="M406" s="1">
        <v>27805</v>
      </c>
      <c r="N406" s="1">
        <f t="shared" si="20"/>
        <v>0.37282094124199389</v>
      </c>
      <c r="O406" s="1">
        <f t="shared" si="21"/>
        <v>0.46588693957115007</v>
      </c>
    </row>
    <row r="407" spans="1:15" ht="42" x14ac:dyDescent="0.2">
      <c r="A407" s="1" t="str">
        <f t="shared" si="19"/>
        <v>CANUELAS</v>
      </c>
      <c r="B407" s="2" t="s">
        <v>169</v>
      </c>
      <c r="C407" s="4" t="s">
        <v>62</v>
      </c>
      <c r="D407" s="2" t="s">
        <v>68</v>
      </c>
      <c r="E407" s="2" t="s">
        <v>170</v>
      </c>
      <c r="F407" s="1">
        <v>13184</v>
      </c>
      <c r="H407" s="1">
        <v>14681</v>
      </c>
      <c r="I407" s="1">
        <v>1805</v>
      </c>
      <c r="K407" s="1">
        <v>33981</v>
      </c>
      <c r="M407" s="1">
        <v>54684</v>
      </c>
      <c r="N407" s="1">
        <f t="shared" si="20"/>
        <v>0.38798151908419409</v>
      </c>
      <c r="O407" s="1">
        <f t="shared" si="21"/>
        <v>0.43203554927753746</v>
      </c>
    </row>
    <row r="408" spans="1:15" ht="42" x14ac:dyDescent="0.2">
      <c r="A408" s="1" t="str">
        <f t="shared" si="19"/>
        <v>ENSENADA</v>
      </c>
      <c r="B408" s="2" t="s">
        <v>169</v>
      </c>
      <c r="C408" s="4" t="s">
        <v>62</v>
      </c>
      <c r="D408" s="2" t="s">
        <v>69</v>
      </c>
      <c r="E408" s="2" t="s">
        <v>170</v>
      </c>
      <c r="F408" s="1">
        <v>21872</v>
      </c>
      <c r="H408" s="1">
        <v>13256</v>
      </c>
      <c r="I408" s="1">
        <v>2206</v>
      </c>
      <c r="K408" s="1">
        <v>41385</v>
      </c>
      <c r="M408" s="1">
        <v>59122</v>
      </c>
      <c r="N408" s="1">
        <f t="shared" si="20"/>
        <v>0.52850066449196564</v>
      </c>
      <c r="O408" s="1">
        <f t="shared" si="21"/>
        <v>0.32030929080584752</v>
      </c>
    </row>
    <row r="409" spans="1:15" ht="51" x14ac:dyDescent="0.2">
      <c r="A409" s="1" t="str">
        <f t="shared" si="19"/>
        <v>ESTEBAN ECHEVERRIA</v>
      </c>
      <c r="B409" s="2" t="s">
        <v>169</v>
      </c>
      <c r="C409" s="4" t="s">
        <v>62</v>
      </c>
      <c r="D409" s="2" t="s">
        <v>70</v>
      </c>
      <c r="E409" s="2" t="s">
        <v>170</v>
      </c>
      <c r="F409" s="1">
        <v>45114</v>
      </c>
      <c r="H409" s="1">
        <v>58655</v>
      </c>
      <c r="I409" s="1">
        <v>7730</v>
      </c>
      <c r="K409" s="1">
        <v>162430</v>
      </c>
      <c r="M409" s="1">
        <v>245378</v>
      </c>
      <c r="N409" s="1">
        <f t="shared" si="20"/>
        <v>0.27774425906544359</v>
      </c>
      <c r="O409" s="1">
        <f t="shared" si="21"/>
        <v>0.3611094009727267</v>
      </c>
    </row>
    <row r="410" spans="1:15" ht="42" x14ac:dyDescent="0.2">
      <c r="A410" s="1" t="str">
        <f t="shared" si="19"/>
        <v>EZEIZA</v>
      </c>
      <c r="B410" s="2" t="s">
        <v>169</v>
      </c>
      <c r="C410" s="4" t="s">
        <v>62</v>
      </c>
      <c r="D410" s="2" t="s">
        <v>81</v>
      </c>
      <c r="E410" s="2" t="s">
        <v>170</v>
      </c>
      <c r="F410" s="1">
        <v>43268</v>
      </c>
      <c r="H410" s="1">
        <v>37172</v>
      </c>
      <c r="I410" s="1">
        <v>4727</v>
      </c>
      <c r="K410" s="1">
        <v>97262</v>
      </c>
      <c r="M410" s="1">
        <v>150279</v>
      </c>
      <c r="N410" s="1">
        <f t="shared" si="20"/>
        <v>0.44486027431062491</v>
      </c>
      <c r="O410" s="1">
        <f t="shared" si="21"/>
        <v>0.38218420349159998</v>
      </c>
    </row>
    <row r="411" spans="1:15" ht="42" x14ac:dyDescent="0.2">
      <c r="A411" s="1" t="str">
        <f t="shared" si="19"/>
        <v>FLORENCIO VARELA</v>
      </c>
      <c r="B411" s="2" t="s">
        <v>169</v>
      </c>
      <c r="C411" s="4" t="s">
        <v>62</v>
      </c>
      <c r="D411" s="2" t="s">
        <v>71</v>
      </c>
      <c r="E411" s="2" t="s">
        <v>170</v>
      </c>
      <c r="F411" s="1">
        <v>111464</v>
      </c>
      <c r="H411" s="1">
        <v>66530</v>
      </c>
      <c r="I411" s="1">
        <v>12716</v>
      </c>
      <c r="K411" s="1">
        <v>216106</v>
      </c>
      <c r="M411" s="1">
        <v>341565</v>
      </c>
      <c r="N411" s="1">
        <f t="shared" si="20"/>
        <v>0.5157839208536551</v>
      </c>
      <c r="O411" s="1">
        <f t="shared" si="21"/>
        <v>0.30785818070761573</v>
      </c>
    </row>
    <row r="412" spans="1:15" ht="42" x14ac:dyDescent="0.2">
      <c r="A412" s="1" t="str">
        <f t="shared" si="19"/>
        <v>LA MATANZA</v>
      </c>
      <c r="B412" s="2" t="s">
        <v>169</v>
      </c>
      <c r="C412" s="4" t="s">
        <v>62</v>
      </c>
      <c r="D412" s="2" t="s">
        <v>72</v>
      </c>
      <c r="E412" s="2" t="s">
        <v>170</v>
      </c>
      <c r="F412" s="1">
        <v>335217</v>
      </c>
      <c r="H412" s="1">
        <v>225035</v>
      </c>
      <c r="I412" s="1">
        <v>48896</v>
      </c>
      <c r="K412" s="1">
        <v>691897</v>
      </c>
      <c r="M412" s="1">
        <v>1056920</v>
      </c>
      <c r="N412" s="1">
        <f t="shared" si="20"/>
        <v>0.48448974341556617</v>
      </c>
      <c r="O412" s="1">
        <f t="shared" si="21"/>
        <v>0.32524349722574314</v>
      </c>
    </row>
    <row r="413" spans="1:15" ht="42" x14ac:dyDescent="0.2">
      <c r="A413" s="1" t="str">
        <f t="shared" si="19"/>
        <v>LANUS</v>
      </c>
      <c r="B413" s="2" t="s">
        <v>169</v>
      </c>
      <c r="C413" s="4" t="s">
        <v>62</v>
      </c>
      <c r="D413" s="2" t="s">
        <v>73</v>
      </c>
      <c r="E413" s="2" t="s">
        <v>170</v>
      </c>
      <c r="F413" s="1">
        <v>114452</v>
      </c>
      <c r="H413" s="1">
        <v>93651</v>
      </c>
      <c r="I413" s="1">
        <v>14837</v>
      </c>
      <c r="K413" s="1">
        <v>253900</v>
      </c>
      <c r="M413" s="1">
        <v>374879</v>
      </c>
      <c r="N413" s="1">
        <f t="shared" si="20"/>
        <v>0.45077589602205592</v>
      </c>
      <c r="O413" s="1">
        <f t="shared" si="21"/>
        <v>0.36884994092162271</v>
      </c>
    </row>
    <row r="414" spans="1:15" ht="42" x14ac:dyDescent="0.2">
      <c r="A414" s="1" t="str">
        <f t="shared" si="19"/>
        <v>LOBOS</v>
      </c>
      <c r="B414" s="2" t="s">
        <v>169</v>
      </c>
      <c r="C414" s="4" t="s">
        <v>62</v>
      </c>
      <c r="D414" s="2" t="s">
        <v>74</v>
      </c>
      <c r="E414" s="2" t="s">
        <v>170</v>
      </c>
      <c r="F414" s="1">
        <v>6896</v>
      </c>
      <c r="H414" s="1">
        <v>11642</v>
      </c>
      <c r="I414" s="1">
        <v>777</v>
      </c>
      <c r="K414" s="1">
        <v>22062</v>
      </c>
      <c r="M414" s="1">
        <v>33364</v>
      </c>
      <c r="N414" s="1">
        <f t="shared" si="20"/>
        <v>0.31257365606019399</v>
      </c>
      <c r="O414" s="1">
        <f t="shared" si="21"/>
        <v>0.5276946786329435</v>
      </c>
    </row>
    <row r="415" spans="1:15" ht="42" x14ac:dyDescent="0.2">
      <c r="A415" s="1" t="str">
        <f t="shared" si="19"/>
        <v>LOMAS DE ZAMORA</v>
      </c>
      <c r="B415" s="2" t="s">
        <v>169</v>
      </c>
      <c r="C415" s="4" t="s">
        <v>62</v>
      </c>
      <c r="D415" s="2" t="s">
        <v>75</v>
      </c>
      <c r="E415" s="2" t="s">
        <v>170</v>
      </c>
      <c r="F415" s="1">
        <v>168988</v>
      </c>
      <c r="H415" s="1">
        <v>122596</v>
      </c>
      <c r="I415" s="1">
        <v>18264</v>
      </c>
      <c r="K415" s="1">
        <v>349950</v>
      </c>
      <c r="M415" s="1">
        <v>518662</v>
      </c>
      <c r="N415" s="1">
        <f t="shared" si="20"/>
        <v>0.48289184169167026</v>
      </c>
      <c r="O415" s="1">
        <f t="shared" si="21"/>
        <v>0.35032433204743535</v>
      </c>
    </row>
    <row r="416" spans="1:15" ht="42" x14ac:dyDescent="0.2">
      <c r="A416" s="1" t="str">
        <f t="shared" si="19"/>
        <v>MAGDALENA</v>
      </c>
      <c r="B416" s="2" t="s">
        <v>169</v>
      </c>
      <c r="C416" s="4" t="s">
        <v>62</v>
      </c>
      <c r="D416" s="2" t="s">
        <v>76</v>
      </c>
      <c r="E416" s="2" t="s">
        <v>170</v>
      </c>
      <c r="F416" s="1">
        <v>3601</v>
      </c>
      <c r="H416" s="1">
        <v>4670</v>
      </c>
      <c r="I416" s="1">
        <v>379</v>
      </c>
      <c r="K416" s="1">
        <v>10806</v>
      </c>
      <c r="M416" s="1">
        <v>16266</v>
      </c>
      <c r="N416" s="1">
        <f t="shared" si="20"/>
        <v>0.33324079215250785</v>
      </c>
      <c r="O416" s="1">
        <f t="shared" si="21"/>
        <v>0.43216731445493245</v>
      </c>
    </row>
    <row r="417" spans="1:15" ht="42" x14ac:dyDescent="0.2">
      <c r="A417" s="1" t="str">
        <f t="shared" si="19"/>
        <v>PRESIDENTE PERON</v>
      </c>
      <c r="B417" s="2" t="s">
        <v>169</v>
      </c>
      <c r="C417" s="4" t="s">
        <v>62</v>
      </c>
      <c r="D417" s="2" t="s">
        <v>79</v>
      </c>
      <c r="E417" s="2" t="s">
        <v>170</v>
      </c>
      <c r="F417" s="1">
        <v>22961</v>
      </c>
      <c r="H417" s="1">
        <v>15575</v>
      </c>
      <c r="I417" s="1">
        <v>3036</v>
      </c>
      <c r="K417" s="1">
        <v>48161</v>
      </c>
      <c r="M417" s="1">
        <v>75243</v>
      </c>
      <c r="N417" s="1">
        <f t="shared" si="20"/>
        <v>0.4767550507672183</v>
      </c>
      <c r="O417" s="1">
        <f t="shared" si="21"/>
        <v>0.32339444778970539</v>
      </c>
    </row>
    <row r="418" spans="1:15" ht="42" x14ac:dyDescent="0.2">
      <c r="A418" s="1" t="str">
        <f t="shared" si="19"/>
        <v>PUNTA INDIO</v>
      </c>
      <c r="B418" s="2" t="s">
        <v>169</v>
      </c>
      <c r="C418" s="4" t="s">
        <v>62</v>
      </c>
      <c r="D418" s="2" t="s">
        <v>80</v>
      </c>
      <c r="E418" s="2" t="s">
        <v>170</v>
      </c>
      <c r="F418" s="1">
        <v>2275</v>
      </c>
      <c r="H418" s="1">
        <v>3412</v>
      </c>
      <c r="I418" s="1">
        <v>237</v>
      </c>
      <c r="K418" s="1">
        <v>6711</v>
      </c>
      <c r="M418" s="1">
        <v>10396</v>
      </c>
      <c r="N418" s="1">
        <f t="shared" si="20"/>
        <v>0.33899567873640291</v>
      </c>
      <c r="O418" s="1">
        <f t="shared" si="21"/>
        <v>0.5084190135598271</v>
      </c>
    </row>
    <row r="419" spans="1:15" ht="42" x14ac:dyDescent="0.2">
      <c r="A419" s="1" t="str">
        <f t="shared" si="19"/>
        <v>QUILMES</v>
      </c>
      <c r="B419" s="2" t="s">
        <v>169</v>
      </c>
      <c r="C419" s="4" t="s">
        <v>62</v>
      </c>
      <c r="D419" s="2" t="s">
        <v>77</v>
      </c>
      <c r="E419" s="2" t="s">
        <v>170</v>
      </c>
      <c r="F419" s="1">
        <v>148977</v>
      </c>
      <c r="H419" s="1">
        <v>121603</v>
      </c>
      <c r="I419" s="1">
        <v>18384</v>
      </c>
      <c r="K419" s="1">
        <v>325678</v>
      </c>
      <c r="M419" s="1">
        <v>479621</v>
      </c>
      <c r="N419" s="1">
        <f t="shared" si="20"/>
        <v>0.45743648634540868</v>
      </c>
      <c r="O419" s="1">
        <f t="shared" si="21"/>
        <v>0.37338414016298305</v>
      </c>
    </row>
    <row r="420" spans="1:15" ht="42" x14ac:dyDescent="0.2">
      <c r="A420" s="1" t="str">
        <f t="shared" si="19"/>
        <v>SAN VICENTE</v>
      </c>
      <c r="B420" s="2" t="s">
        <v>169</v>
      </c>
      <c r="C420" s="3" t="s">
        <v>62</v>
      </c>
      <c r="D420" s="2" t="s">
        <v>78</v>
      </c>
      <c r="E420" s="2" t="s">
        <v>170</v>
      </c>
      <c r="F420" s="1">
        <v>20560</v>
      </c>
      <c r="H420" s="1">
        <v>15719</v>
      </c>
      <c r="I420" s="1">
        <v>1701</v>
      </c>
      <c r="K420" s="1">
        <v>43159</v>
      </c>
      <c r="M420" s="1">
        <v>69623</v>
      </c>
      <c r="N420" s="1">
        <f t="shared" si="20"/>
        <v>0.47637804397692252</v>
      </c>
      <c r="O420" s="1">
        <f t="shared" si="21"/>
        <v>0.36421140434208393</v>
      </c>
    </row>
    <row r="421" spans="1:15" ht="42" x14ac:dyDescent="0.2">
      <c r="A421" s="1" t="str">
        <f t="shared" si="19"/>
        <v>LA PLATA</v>
      </c>
      <c r="B421" s="2" t="s">
        <v>161</v>
      </c>
      <c r="C421" s="2" t="s">
        <v>16</v>
      </c>
      <c r="D421" s="2" t="s">
        <v>17</v>
      </c>
      <c r="E421" s="2" t="s">
        <v>162</v>
      </c>
      <c r="F421" s="1">
        <v>172684</v>
      </c>
      <c r="H421" s="1">
        <v>143670</v>
      </c>
      <c r="I421" s="1">
        <v>23160</v>
      </c>
      <c r="K421" s="1">
        <v>395040</v>
      </c>
      <c r="L421" s="1">
        <v>409131</v>
      </c>
      <c r="M421" s="1">
        <v>639839</v>
      </c>
      <c r="N421" s="1">
        <f t="shared" si="20"/>
        <v>0.43713041717294449</v>
      </c>
      <c r="O421" s="1">
        <f t="shared" si="21"/>
        <v>0.36368469015795868</v>
      </c>
    </row>
    <row r="422" spans="1:15" ht="42" x14ac:dyDescent="0.2">
      <c r="A422" s="1" t="str">
        <f t="shared" si="19"/>
        <v>LA PLATA</v>
      </c>
      <c r="B422" s="2" t="s">
        <v>161</v>
      </c>
      <c r="C422" s="2" t="s">
        <v>16</v>
      </c>
      <c r="D422" s="2" t="s">
        <v>17</v>
      </c>
      <c r="E422" s="2" t="s">
        <v>21</v>
      </c>
      <c r="F422" s="1">
        <v>173952</v>
      </c>
      <c r="H422" s="1">
        <v>144143</v>
      </c>
      <c r="I422" s="1">
        <v>21806</v>
      </c>
      <c r="K422" s="1">
        <v>393945</v>
      </c>
      <c r="L422" s="1">
        <v>409131</v>
      </c>
      <c r="M422" s="1">
        <v>639839</v>
      </c>
      <c r="N422" s="1">
        <f t="shared" si="20"/>
        <v>0.44156417774054751</v>
      </c>
      <c r="O422" s="1">
        <f t="shared" si="21"/>
        <v>0.3658962545533006</v>
      </c>
    </row>
  </sheetData>
  <autoFilter ref="A1:P422" xr:uid="{62A8F827-7B9A-1A46-BB69-D94C169F7B6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 Bouzada</dc:creator>
  <cp:lastModifiedBy>Jacqueline Bouzada</cp:lastModifiedBy>
  <dcterms:created xsi:type="dcterms:W3CDTF">2026-05-16T19:00:43Z</dcterms:created>
  <dcterms:modified xsi:type="dcterms:W3CDTF">2026-05-16T19:01:58Z</dcterms:modified>
</cp:coreProperties>
</file>